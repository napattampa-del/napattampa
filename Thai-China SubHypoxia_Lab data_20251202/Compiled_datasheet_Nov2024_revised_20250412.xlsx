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lermrat\Desktop\"/>
    </mc:Choice>
  </mc:AlternateContent>
  <xr:revisionPtr revIDLastSave="0" documentId="13_ncr:1_{4A01B44C-0292-4335-BEFB-E732200D8A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6 Nov. - 2 Dec." sheetId="1" r:id="rId1"/>
    <sheet name="map" sheetId="2" r:id="rId2"/>
    <sheet name="DO_cor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h+bwvbYIFIBtQ0ydriXJMgN+IuysijjBEjGBr68MgoM="/>
    </ext>
  </extLst>
</workbook>
</file>

<file path=xl/calcChain.xml><?xml version="1.0" encoding="utf-8"?>
<calcChain xmlns="http://schemas.openxmlformats.org/spreadsheetml/2006/main">
  <c r="AP193" i="1" l="1"/>
  <c r="AP165" i="1"/>
  <c r="AP164" i="1"/>
  <c r="AP163" i="1"/>
  <c r="AP156" i="1"/>
  <c r="AP154" i="1"/>
  <c r="AP153" i="1"/>
  <c r="AP152" i="1"/>
  <c r="AP151" i="1"/>
  <c r="AP90" i="1"/>
  <c r="AP88" i="1"/>
  <c r="AP87" i="1"/>
  <c r="AP86" i="1"/>
  <c r="AP85" i="1"/>
  <c r="AP69" i="1"/>
  <c r="AP68" i="1"/>
  <c r="AP67" i="1"/>
  <c r="AP60" i="1"/>
  <c r="AP58" i="1"/>
  <c r="AP26" i="1"/>
  <c r="AP27" i="1"/>
  <c r="AP28" i="1"/>
  <c r="AP29" i="1"/>
  <c r="AP30" i="1"/>
  <c r="AP25" i="1"/>
  <c r="U193" i="3"/>
  <c r="T193" i="3"/>
  <c r="U186" i="3"/>
  <c r="T186" i="3"/>
  <c r="U185" i="3"/>
  <c r="T185" i="3"/>
  <c r="U184" i="3"/>
  <c r="T184" i="3"/>
  <c r="U180" i="3"/>
  <c r="T180" i="3"/>
  <c r="U179" i="3"/>
  <c r="T179" i="3"/>
  <c r="U178" i="3"/>
  <c r="T178" i="3"/>
  <c r="U177" i="3"/>
  <c r="T177" i="3"/>
  <c r="U176" i="3"/>
  <c r="T176" i="3"/>
  <c r="U175" i="3"/>
  <c r="T175" i="3"/>
  <c r="U168" i="3"/>
  <c r="T168" i="3"/>
  <c r="U167" i="3"/>
  <c r="T167" i="3"/>
  <c r="U166" i="3"/>
  <c r="T166" i="3"/>
  <c r="U165" i="3"/>
  <c r="T165" i="3"/>
  <c r="U164" i="3"/>
  <c r="T164" i="3"/>
  <c r="U163" i="3"/>
  <c r="T163" i="3"/>
  <c r="U162" i="3"/>
  <c r="T162" i="3"/>
  <c r="U161" i="3"/>
  <c r="T161" i="3"/>
  <c r="U160" i="3"/>
  <c r="T160" i="3"/>
  <c r="U159" i="3"/>
  <c r="T159" i="3"/>
  <c r="U158" i="3"/>
  <c r="T158" i="3"/>
  <c r="U157" i="3"/>
  <c r="T157" i="3"/>
  <c r="U156" i="3"/>
  <c r="T156" i="3"/>
  <c r="U154" i="3"/>
  <c r="T154" i="3"/>
  <c r="U153" i="3"/>
  <c r="T153" i="3"/>
  <c r="U152" i="3"/>
  <c r="T152" i="3"/>
  <c r="U151" i="3"/>
  <c r="T151" i="3"/>
  <c r="U150" i="3"/>
  <c r="T150" i="3"/>
  <c r="U149" i="3"/>
  <c r="T149" i="3"/>
  <c r="U148" i="3"/>
  <c r="T148" i="3"/>
  <c r="U147" i="3"/>
  <c r="T147" i="3"/>
  <c r="U146" i="3"/>
  <c r="T146" i="3"/>
  <c r="U145" i="3"/>
  <c r="T145" i="3"/>
  <c r="U144" i="3"/>
  <c r="T144" i="3"/>
  <c r="U143" i="3"/>
  <c r="T143" i="3"/>
  <c r="U142" i="3"/>
  <c r="T142" i="3"/>
  <c r="U141" i="3"/>
  <c r="T141" i="3"/>
  <c r="U140" i="3"/>
  <c r="T140" i="3"/>
  <c r="U139" i="3"/>
  <c r="T139" i="3"/>
  <c r="U135" i="3"/>
  <c r="T135" i="3"/>
  <c r="U134" i="3"/>
  <c r="T134" i="3"/>
  <c r="U133" i="3"/>
  <c r="T133" i="3"/>
  <c r="U129" i="3"/>
  <c r="T129" i="3"/>
  <c r="U128" i="3"/>
  <c r="T128" i="3"/>
  <c r="U127" i="3"/>
  <c r="T127" i="3"/>
  <c r="U123" i="3"/>
  <c r="T123" i="3"/>
  <c r="U122" i="3"/>
  <c r="T122" i="3"/>
  <c r="U121" i="3"/>
  <c r="T121" i="3"/>
  <c r="U117" i="3"/>
  <c r="T117" i="3"/>
  <c r="U116" i="3"/>
  <c r="T116" i="3"/>
  <c r="U115" i="3"/>
  <c r="T115" i="3"/>
  <c r="U111" i="3"/>
  <c r="T111" i="3"/>
  <c r="U110" i="3"/>
  <c r="T110" i="3"/>
  <c r="U109" i="3"/>
  <c r="T109" i="3"/>
  <c r="U108" i="3"/>
  <c r="T108" i="3"/>
  <c r="U107" i="3"/>
  <c r="T107" i="3"/>
  <c r="U106" i="3"/>
  <c r="T106" i="3"/>
  <c r="U102" i="3"/>
  <c r="T102" i="3"/>
  <c r="U101" i="3"/>
  <c r="T101" i="3"/>
  <c r="U100" i="3"/>
  <c r="T100" i="3"/>
  <c r="U93" i="3"/>
  <c r="T93" i="3"/>
  <c r="U92" i="3"/>
  <c r="T92" i="3"/>
  <c r="U91" i="3"/>
  <c r="T91" i="3"/>
  <c r="U90" i="3"/>
  <c r="T90" i="3"/>
  <c r="U88" i="3"/>
  <c r="T88" i="3"/>
  <c r="U87" i="3"/>
  <c r="T87" i="3"/>
  <c r="U86" i="3"/>
  <c r="T86" i="3"/>
  <c r="U85" i="3"/>
  <c r="T85" i="3"/>
  <c r="U84" i="3"/>
  <c r="T84" i="3"/>
  <c r="U83" i="3"/>
  <c r="T83" i="3"/>
  <c r="U82" i="3"/>
  <c r="T82" i="3"/>
  <c r="U72" i="3"/>
  <c r="T72" i="3"/>
  <c r="U71" i="3"/>
  <c r="T71" i="3"/>
  <c r="U70" i="3"/>
  <c r="T70" i="3"/>
  <c r="U66" i="3"/>
  <c r="T66" i="3"/>
  <c r="U65" i="3"/>
  <c r="T65" i="3"/>
  <c r="U64" i="3"/>
  <c r="T64" i="3"/>
  <c r="U63" i="3"/>
  <c r="T63" i="3"/>
  <c r="U61" i="3"/>
  <c r="T61" i="3"/>
  <c r="U60" i="3"/>
  <c r="T60" i="3"/>
  <c r="U58" i="3"/>
  <c r="T58" i="3"/>
  <c r="U54" i="3"/>
  <c r="T54" i="3"/>
  <c r="U53" i="3"/>
  <c r="T53" i="3"/>
  <c r="U52" i="3"/>
  <c r="T52" i="3"/>
  <c r="U48" i="3"/>
  <c r="T48" i="3"/>
  <c r="U47" i="3"/>
  <c r="T47" i="3"/>
  <c r="U46" i="3"/>
  <c r="T46" i="3"/>
  <c r="U42" i="3"/>
  <c r="T42" i="3"/>
  <c r="U41" i="3"/>
  <c r="T41" i="3"/>
  <c r="U40" i="3"/>
  <c r="T40" i="3"/>
  <c r="U36" i="3"/>
  <c r="T36" i="3"/>
  <c r="U35" i="3"/>
  <c r="T35" i="3"/>
  <c r="U34" i="3"/>
  <c r="T34" i="3"/>
  <c r="U30" i="3"/>
  <c r="T30" i="3"/>
  <c r="U29" i="3"/>
  <c r="T29" i="3"/>
  <c r="U28" i="3"/>
  <c r="T28" i="3"/>
  <c r="U27" i="3"/>
  <c r="T27" i="3"/>
  <c r="U26" i="3"/>
  <c r="T26" i="3"/>
  <c r="U25" i="3"/>
  <c r="T25" i="3"/>
  <c r="U24" i="3"/>
  <c r="T24" i="3"/>
  <c r="U23" i="3"/>
  <c r="T23" i="3"/>
  <c r="U22" i="3"/>
  <c r="T22" i="3"/>
  <c r="U21" i="3"/>
  <c r="T21" i="3"/>
  <c r="U20" i="3"/>
  <c r="T20" i="3"/>
  <c r="U19" i="3"/>
  <c r="T19" i="3"/>
  <c r="U15" i="3"/>
  <c r="T15" i="3"/>
  <c r="U14" i="3"/>
  <c r="T14" i="3"/>
  <c r="U13" i="3"/>
  <c r="T13" i="3"/>
  <c r="U9" i="3"/>
  <c r="T9" i="3"/>
  <c r="U8" i="3"/>
  <c r="T8" i="3"/>
  <c r="U7" i="3"/>
  <c r="T7" i="3"/>
  <c r="U6" i="3"/>
  <c r="T6" i="3"/>
  <c r="U5" i="3"/>
  <c r="T5" i="3"/>
  <c r="U4" i="3"/>
  <c r="T4" i="3"/>
  <c r="C192" i="1"/>
  <c r="N191" i="1"/>
  <c r="N192" i="1" s="1"/>
  <c r="I191" i="1"/>
  <c r="I192" i="1" s="1"/>
  <c r="H191" i="1"/>
  <c r="H192" i="1" s="1"/>
  <c r="G191" i="1"/>
  <c r="G192" i="1" s="1"/>
  <c r="F191" i="1"/>
  <c r="F192" i="1" s="1"/>
  <c r="E191" i="1"/>
  <c r="E192" i="1" s="1"/>
  <c r="D191" i="1"/>
  <c r="D192" i="1" s="1"/>
  <c r="C191" i="1"/>
  <c r="B191" i="1"/>
  <c r="B192" i="1" s="1"/>
  <c r="A191" i="1"/>
  <c r="A192" i="1" s="1"/>
  <c r="N188" i="1"/>
  <c r="N189" i="1" s="1"/>
  <c r="I188" i="1"/>
  <c r="I189" i="1" s="1"/>
  <c r="H188" i="1"/>
  <c r="H189" i="1" s="1"/>
  <c r="G188" i="1"/>
  <c r="G189" i="1" s="1"/>
  <c r="F188" i="1"/>
  <c r="F189" i="1" s="1"/>
  <c r="E188" i="1"/>
  <c r="E189" i="1" s="1"/>
  <c r="D188" i="1"/>
  <c r="D189" i="1" s="1"/>
  <c r="C188" i="1"/>
  <c r="C189" i="1" s="1"/>
  <c r="B188" i="1"/>
  <c r="B189" i="1" s="1"/>
  <c r="A188" i="1"/>
  <c r="A189" i="1" s="1"/>
  <c r="N185" i="1"/>
  <c r="N186" i="1" s="1"/>
  <c r="I185" i="1"/>
  <c r="I186" i="1" s="1"/>
  <c r="H185" i="1"/>
  <c r="H186" i="1" s="1"/>
  <c r="G185" i="1"/>
  <c r="G186" i="1" s="1"/>
  <c r="F185" i="1"/>
  <c r="F186" i="1" s="1"/>
  <c r="E185" i="1"/>
  <c r="E186" i="1" s="1"/>
  <c r="D185" i="1"/>
  <c r="D186" i="1" s="1"/>
  <c r="C185" i="1"/>
  <c r="C186" i="1" s="1"/>
  <c r="B185" i="1"/>
  <c r="B186" i="1" s="1"/>
  <c r="A185" i="1"/>
  <c r="A186" i="1" s="1"/>
  <c r="N182" i="1"/>
  <c r="N183" i="1" s="1"/>
  <c r="I182" i="1"/>
  <c r="I183" i="1" s="1"/>
  <c r="H182" i="1"/>
  <c r="H183" i="1" s="1"/>
  <c r="G182" i="1"/>
  <c r="G183" i="1" s="1"/>
  <c r="F182" i="1"/>
  <c r="F183" i="1" s="1"/>
  <c r="E182" i="1"/>
  <c r="E183" i="1" s="1"/>
  <c r="D182" i="1"/>
  <c r="D183" i="1" s="1"/>
  <c r="C182" i="1"/>
  <c r="C183" i="1" s="1"/>
  <c r="B182" i="1"/>
  <c r="B183" i="1" s="1"/>
  <c r="A182" i="1"/>
  <c r="A183" i="1" s="1"/>
  <c r="N179" i="1"/>
  <c r="N180" i="1" s="1"/>
  <c r="I179" i="1"/>
  <c r="I180" i="1" s="1"/>
  <c r="H179" i="1"/>
  <c r="H180" i="1" s="1"/>
  <c r="G179" i="1"/>
  <c r="G180" i="1" s="1"/>
  <c r="F179" i="1"/>
  <c r="F180" i="1" s="1"/>
  <c r="E179" i="1"/>
  <c r="E180" i="1" s="1"/>
  <c r="D179" i="1"/>
  <c r="D180" i="1" s="1"/>
  <c r="C179" i="1"/>
  <c r="C180" i="1" s="1"/>
  <c r="B179" i="1"/>
  <c r="B180" i="1" s="1"/>
  <c r="A179" i="1"/>
  <c r="A180" i="1" s="1"/>
  <c r="N176" i="1"/>
  <c r="N177" i="1" s="1"/>
  <c r="I176" i="1"/>
  <c r="I177" i="1" s="1"/>
  <c r="H176" i="1"/>
  <c r="H177" i="1" s="1"/>
  <c r="G176" i="1"/>
  <c r="G177" i="1" s="1"/>
  <c r="F176" i="1"/>
  <c r="F177" i="1" s="1"/>
  <c r="E176" i="1"/>
  <c r="E177" i="1" s="1"/>
  <c r="D176" i="1"/>
  <c r="D177" i="1" s="1"/>
  <c r="C176" i="1"/>
  <c r="C177" i="1" s="1"/>
  <c r="B176" i="1"/>
  <c r="B177" i="1" s="1"/>
  <c r="A176" i="1"/>
  <c r="A177" i="1" s="1"/>
  <c r="N173" i="1"/>
  <c r="N174" i="1" s="1"/>
  <c r="I173" i="1"/>
  <c r="I174" i="1" s="1"/>
  <c r="H173" i="1"/>
  <c r="H174" i="1" s="1"/>
  <c r="G173" i="1"/>
  <c r="G174" i="1" s="1"/>
  <c r="F173" i="1"/>
  <c r="F174" i="1" s="1"/>
  <c r="E173" i="1"/>
  <c r="E174" i="1" s="1"/>
  <c r="D173" i="1"/>
  <c r="D174" i="1" s="1"/>
  <c r="C173" i="1"/>
  <c r="C174" i="1" s="1"/>
  <c r="B173" i="1"/>
  <c r="B174" i="1" s="1"/>
  <c r="A173" i="1"/>
  <c r="A174" i="1" s="1"/>
  <c r="N170" i="1"/>
  <c r="N171" i="1" s="1"/>
  <c r="I170" i="1"/>
  <c r="I171" i="1" s="1"/>
  <c r="H170" i="1"/>
  <c r="H171" i="1" s="1"/>
  <c r="G170" i="1"/>
  <c r="G171" i="1" s="1"/>
  <c r="F170" i="1"/>
  <c r="F171" i="1" s="1"/>
  <c r="E170" i="1"/>
  <c r="E171" i="1" s="1"/>
  <c r="D170" i="1"/>
  <c r="D171" i="1" s="1"/>
  <c r="C170" i="1"/>
  <c r="C171" i="1" s="1"/>
  <c r="B170" i="1"/>
  <c r="B171" i="1" s="1"/>
  <c r="A170" i="1"/>
  <c r="A171" i="1" s="1"/>
  <c r="N167" i="1"/>
  <c r="N168" i="1" s="1"/>
  <c r="I167" i="1"/>
  <c r="I168" i="1" s="1"/>
  <c r="H167" i="1"/>
  <c r="H168" i="1" s="1"/>
  <c r="G167" i="1"/>
  <c r="G168" i="1" s="1"/>
  <c r="F167" i="1"/>
  <c r="F168" i="1" s="1"/>
  <c r="E167" i="1"/>
  <c r="E168" i="1" s="1"/>
  <c r="D167" i="1"/>
  <c r="D168" i="1" s="1"/>
  <c r="C167" i="1"/>
  <c r="C168" i="1" s="1"/>
  <c r="B167" i="1"/>
  <c r="B168" i="1" s="1"/>
  <c r="A167" i="1"/>
  <c r="A168" i="1" s="1"/>
  <c r="N164" i="1"/>
  <c r="N165" i="1" s="1"/>
  <c r="I164" i="1"/>
  <c r="I165" i="1" s="1"/>
  <c r="H164" i="1"/>
  <c r="H165" i="1" s="1"/>
  <c r="G164" i="1"/>
  <c r="G165" i="1" s="1"/>
  <c r="F164" i="1"/>
  <c r="F165" i="1" s="1"/>
  <c r="E164" i="1"/>
  <c r="E165" i="1" s="1"/>
  <c r="D164" i="1"/>
  <c r="D165" i="1" s="1"/>
  <c r="C164" i="1"/>
  <c r="C165" i="1" s="1"/>
  <c r="B164" i="1"/>
  <c r="B165" i="1" s="1"/>
  <c r="A164" i="1"/>
  <c r="A165" i="1" s="1"/>
  <c r="N161" i="1"/>
  <c r="N162" i="1" s="1"/>
  <c r="I161" i="1"/>
  <c r="I162" i="1" s="1"/>
  <c r="H161" i="1"/>
  <c r="H162" i="1" s="1"/>
  <c r="G161" i="1"/>
  <c r="G162" i="1" s="1"/>
  <c r="F161" i="1"/>
  <c r="F162" i="1" s="1"/>
  <c r="E161" i="1"/>
  <c r="E162" i="1" s="1"/>
  <c r="D161" i="1"/>
  <c r="D162" i="1" s="1"/>
  <c r="C161" i="1"/>
  <c r="C162" i="1" s="1"/>
  <c r="B161" i="1"/>
  <c r="B162" i="1" s="1"/>
  <c r="A161" i="1"/>
  <c r="A162" i="1" s="1"/>
  <c r="F159" i="1"/>
  <c r="N158" i="1"/>
  <c r="N159" i="1" s="1"/>
  <c r="I158" i="1"/>
  <c r="I159" i="1" s="1"/>
  <c r="H158" i="1"/>
  <c r="H159" i="1" s="1"/>
  <c r="G158" i="1"/>
  <c r="G159" i="1" s="1"/>
  <c r="F158" i="1"/>
  <c r="E158" i="1"/>
  <c r="E159" i="1" s="1"/>
  <c r="D158" i="1"/>
  <c r="D159" i="1" s="1"/>
  <c r="C158" i="1"/>
  <c r="C159" i="1" s="1"/>
  <c r="B158" i="1"/>
  <c r="B159" i="1" s="1"/>
  <c r="A158" i="1"/>
  <c r="A159" i="1" s="1"/>
  <c r="N155" i="1"/>
  <c r="N156" i="1" s="1"/>
  <c r="I155" i="1"/>
  <c r="I156" i="1" s="1"/>
  <c r="H155" i="1"/>
  <c r="H156" i="1" s="1"/>
  <c r="G155" i="1"/>
  <c r="G156" i="1" s="1"/>
  <c r="F155" i="1"/>
  <c r="F156" i="1" s="1"/>
  <c r="E155" i="1"/>
  <c r="E156" i="1" s="1"/>
  <c r="D155" i="1"/>
  <c r="D156" i="1" s="1"/>
  <c r="C155" i="1"/>
  <c r="C156" i="1" s="1"/>
  <c r="B155" i="1"/>
  <c r="B156" i="1" s="1"/>
  <c r="A155" i="1"/>
  <c r="A156" i="1" s="1"/>
  <c r="N152" i="1"/>
  <c r="N153" i="1" s="1"/>
  <c r="I152" i="1"/>
  <c r="I153" i="1" s="1"/>
  <c r="H152" i="1"/>
  <c r="H153" i="1" s="1"/>
  <c r="G152" i="1"/>
  <c r="G153" i="1" s="1"/>
  <c r="F152" i="1"/>
  <c r="F153" i="1" s="1"/>
  <c r="E152" i="1"/>
  <c r="E153" i="1" s="1"/>
  <c r="D152" i="1"/>
  <c r="D153" i="1" s="1"/>
  <c r="C152" i="1"/>
  <c r="C153" i="1" s="1"/>
  <c r="B152" i="1"/>
  <c r="B153" i="1" s="1"/>
  <c r="A152" i="1"/>
  <c r="A153" i="1" s="1"/>
  <c r="N149" i="1"/>
  <c r="N150" i="1" s="1"/>
  <c r="I149" i="1"/>
  <c r="I150" i="1" s="1"/>
  <c r="H149" i="1"/>
  <c r="H150" i="1" s="1"/>
  <c r="G149" i="1"/>
  <c r="G150" i="1" s="1"/>
  <c r="F149" i="1"/>
  <c r="F150" i="1" s="1"/>
  <c r="E149" i="1"/>
  <c r="E150" i="1" s="1"/>
  <c r="D149" i="1"/>
  <c r="D150" i="1" s="1"/>
  <c r="C149" i="1"/>
  <c r="C150" i="1" s="1"/>
  <c r="B149" i="1"/>
  <c r="B150" i="1" s="1"/>
  <c r="A149" i="1"/>
  <c r="A150" i="1" s="1"/>
  <c r="N146" i="1"/>
  <c r="N147" i="1" s="1"/>
  <c r="I146" i="1"/>
  <c r="I147" i="1" s="1"/>
  <c r="H146" i="1"/>
  <c r="H147" i="1" s="1"/>
  <c r="G146" i="1"/>
  <c r="G147" i="1" s="1"/>
  <c r="F146" i="1"/>
  <c r="F147" i="1" s="1"/>
  <c r="E146" i="1"/>
  <c r="E147" i="1" s="1"/>
  <c r="D146" i="1"/>
  <c r="D147" i="1" s="1"/>
  <c r="C146" i="1"/>
  <c r="C147" i="1" s="1"/>
  <c r="B146" i="1"/>
  <c r="B147" i="1" s="1"/>
  <c r="A146" i="1"/>
  <c r="A147" i="1" s="1"/>
  <c r="N143" i="1"/>
  <c r="N144" i="1" s="1"/>
  <c r="I143" i="1"/>
  <c r="I144" i="1" s="1"/>
  <c r="H143" i="1"/>
  <c r="H144" i="1" s="1"/>
  <c r="G143" i="1"/>
  <c r="G144" i="1" s="1"/>
  <c r="F143" i="1"/>
  <c r="F144" i="1" s="1"/>
  <c r="E143" i="1"/>
  <c r="E144" i="1" s="1"/>
  <c r="D143" i="1"/>
  <c r="D144" i="1" s="1"/>
  <c r="C143" i="1"/>
  <c r="C144" i="1" s="1"/>
  <c r="B143" i="1"/>
  <c r="B144" i="1" s="1"/>
  <c r="A143" i="1"/>
  <c r="A144" i="1" s="1"/>
  <c r="N140" i="1"/>
  <c r="N141" i="1" s="1"/>
  <c r="I140" i="1"/>
  <c r="I141" i="1" s="1"/>
  <c r="H140" i="1"/>
  <c r="H141" i="1" s="1"/>
  <c r="G140" i="1"/>
  <c r="G141" i="1" s="1"/>
  <c r="F140" i="1"/>
  <c r="F141" i="1" s="1"/>
  <c r="E140" i="1"/>
  <c r="E141" i="1" s="1"/>
  <c r="D140" i="1"/>
  <c r="D141" i="1" s="1"/>
  <c r="C140" i="1"/>
  <c r="C141" i="1" s="1"/>
  <c r="B140" i="1"/>
  <c r="B141" i="1" s="1"/>
  <c r="A140" i="1"/>
  <c r="A141" i="1" s="1"/>
  <c r="N137" i="1"/>
  <c r="N138" i="1" s="1"/>
  <c r="I137" i="1"/>
  <c r="I138" i="1" s="1"/>
  <c r="H137" i="1"/>
  <c r="H138" i="1" s="1"/>
  <c r="G137" i="1"/>
  <c r="G138" i="1" s="1"/>
  <c r="F137" i="1"/>
  <c r="F138" i="1" s="1"/>
  <c r="E137" i="1"/>
  <c r="E138" i="1" s="1"/>
  <c r="D137" i="1"/>
  <c r="D138" i="1" s="1"/>
  <c r="C137" i="1"/>
  <c r="C138" i="1" s="1"/>
  <c r="B137" i="1"/>
  <c r="B138" i="1" s="1"/>
  <c r="A137" i="1"/>
  <c r="A138" i="1" s="1"/>
  <c r="N134" i="1"/>
  <c r="N135" i="1" s="1"/>
  <c r="I134" i="1"/>
  <c r="I135" i="1" s="1"/>
  <c r="H134" i="1"/>
  <c r="H135" i="1" s="1"/>
  <c r="G134" i="1"/>
  <c r="G135" i="1" s="1"/>
  <c r="F134" i="1"/>
  <c r="F135" i="1" s="1"/>
  <c r="E134" i="1"/>
  <c r="E135" i="1" s="1"/>
  <c r="D134" i="1"/>
  <c r="D135" i="1" s="1"/>
  <c r="C134" i="1"/>
  <c r="C135" i="1" s="1"/>
  <c r="B134" i="1"/>
  <c r="B135" i="1" s="1"/>
  <c r="A134" i="1"/>
  <c r="A135" i="1" s="1"/>
  <c r="N131" i="1"/>
  <c r="N132" i="1" s="1"/>
  <c r="I131" i="1"/>
  <c r="I132" i="1" s="1"/>
  <c r="H131" i="1"/>
  <c r="H132" i="1" s="1"/>
  <c r="G131" i="1"/>
  <c r="G132" i="1" s="1"/>
  <c r="F131" i="1"/>
  <c r="F132" i="1" s="1"/>
  <c r="E131" i="1"/>
  <c r="E132" i="1" s="1"/>
  <c r="D131" i="1"/>
  <c r="D132" i="1" s="1"/>
  <c r="C131" i="1"/>
  <c r="C132" i="1" s="1"/>
  <c r="B131" i="1"/>
  <c r="B132" i="1" s="1"/>
  <c r="A131" i="1"/>
  <c r="A132" i="1" s="1"/>
  <c r="D129" i="1"/>
  <c r="N128" i="1"/>
  <c r="N129" i="1" s="1"/>
  <c r="I128" i="1"/>
  <c r="I129" i="1" s="1"/>
  <c r="H128" i="1"/>
  <c r="H129" i="1" s="1"/>
  <c r="G128" i="1"/>
  <c r="G129" i="1" s="1"/>
  <c r="F128" i="1"/>
  <c r="F129" i="1" s="1"/>
  <c r="E128" i="1"/>
  <c r="E129" i="1" s="1"/>
  <c r="D128" i="1"/>
  <c r="C128" i="1"/>
  <c r="C129" i="1" s="1"/>
  <c r="B128" i="1"/>
  <c r="B129" i="1" s="1"/>
  <c r="A128" i="1"/>
  <c r="A129" i="1" s="1"/>
  <c r="N125" i="1"/>
  <c r="N126" i="1" s="1"/>
  <c r="I125" i="1"/>
  <c r="I126" i="1" s="1"/>
  <c r="H125" i="1"/>
  <c r="H126" i="1" s="1"/>
  <c r="G125" i="1"/>
  <c r="G126" i="1" s="1"/>
  <c r="F125" i="1"/>
  <c r="F126" i="1" s="1"/>
  <c r="E125" i="1"/>
  <c r="E126" i="1" s="1"/>
  <c r="D125" i="1"/>
  <c r="D126" i="1" s="1"/>
  <c r="C125" i="1"/>
  <c r="C126" i="1" s="1"/>
  <c r="B125" i="1"/>
  <c r="B126" i="1" s="1"/>
  <c r="A125" i="1"/>
  <c r="A126" i="1" s="1"/>
  <c r="I123" i="1"/>
  <c r="N122" i="1"/>
  <c r="N123" i="1" s="1"/>
  <c r="I122" i="1"/>
  <c r="H122" i="1"/>
  <c r="H123" i="1" s="1"/>
  <c r="G122" i="1"/>
  <c r="G123" i="1" s="1"/>
  <c r="F122" i="1"/>
  <c r="F123" i="1" s="1"/>
  <c r="E122" i="1"/>
  <c r="E123" i="1" s="1"/>
  <c r="D122" i="1"/>
  <c r="D123" i="1" s="1"/>
  <c r="C122" i="1"/>
  <c r="C123" i="1" s="1"/>
  <c r="B122" i="1"/>
  <c r="B123" i="1" s="1"/>
  <c r="A122" i="1"/>
  <c r="A123" i="1" s="1"/>
  <c r="I120" i="1"/>
  <c r="N119" i="1"/>
  <c r="N120" i="1" s="1"/>
  <c r="I119" i="1"/>
  <c r="H119" i="1"/>
  <c r="H120" i="1" s="1"/>
  <c r="G119" i="1"/>
  <c r="G120" i="1" s="1"/>
  <c r="F119" i="1"/>
  <c r="F120" i="1" s="1"/>
  <c r="E119" i="1"/>
  <c r="E120" i="1" s="1"/>
  <c r="D119" i="1"/>
  <c r="D120" i="1" s="1"/>
  <c r="C119" i="1"/>
  <c r="C120" i="1" s="1"/>
  <c r="B119" i="1"/>
  <c r="B120" i="1" s="1"/>
  <c r="A119" i="1"/>
  <c r="A120" i="1" s="1"/>
  <c r="N116" i="1"/>
  <c r="N117" i="1" s="1"/>
  <c r="I116" i="1"/>
  <c r="I117" i="1" s="1"/>
  <c r="H116" i="1"/>
  <c r="H117" i="1" s="1"/>
  <c r="G116" i="1"/>
  <c r="G117" i="1" s="1"/>
  <c r="F116" i="1"/>
  <c r="F117" i="1" s="1"/>
  <c r="E116" i="1"/>
  <c r="E117" i="1" s="1"/>
  <c r="D116" i="1"/>
  <c r="D117" i="1" s="1"/>
  <c r="C116" i="1"/>
  <c r="C117" i="1" s="1"/>
  <c r="B116" i="1"/>
  <c r="B117" i="1" s="1"/>
  <c r="A116" i="1"/>
  <c r="A117" i="1" s="1"/>
  <c r="N113" i="1"/>
  <c r="N114" i="1" s="1"/>
  <c r="I113" i="1"/>
  <c r="I114" i="1" s="1"/>
  <c r="H113" i="1"/>
  <c r="H114" i="1" s="1"/>
  <c r="G113" i="1"/>
  <c r="G114" i="1" s="1"/>
  <c r="F113" i="1"/>
  <c r="F114" i="1" s="1"/>
  <c r="E113" i="1"/>
  <c r="E114" i="1" s="1"/>
  <c r="D113" i="1"/>
  <c r="D114" i="1" s="1"/>
  <c r="C113" i="1"/>
  <c r="C114" i="1" s="1"/>
  <c r="B113" i="1"/>
  <c r="B114" i="1" s="1"/>
  <c r="A113" i="1"/>
  <c r="A114" i="1" s="1"/>
  <c r="N110" i="1"/>
  <c r="N111" i="1" s="1"/>
  <c r="I110" i="1"/>
  <c r="I111" i="1" s="1"/>
  <c r="H110" i="1"/>
  <c r="H111" i="1" s="1"/>
  <c r="G110" i="1"/>
  <c r="G111" i="1" s="1"/>
  <c r="F110" i="1"/>
  <c r="F111" i="1" s="1"/>
  <c r="E110" i="1"/>
  <c r="E111" i="1" s="1"/>
  <c r="D110" i="1"/>
  <c r="D111" i="1" s="1"/>
  <c r="C110" i="1"/>
  <c r="C111" i="1" s="1"/>
  <c r="B110" i="1"/>
  <c r="B111" i="1" s="1"/>
  <c r="A110" i="1"/>
  <c r="A111" i="1" s="1"/>
  <c r="N107" i="1"/>
  <c r="N108" i="1" s="1"/>
  <c r="I107" i="1"/>
  <c r="I108" i="1" s="1"/>
  <c r="H107" i="1"/>
  <c r="H108" i="1" s="1"/>
  <c r="G107" i="1"/>
  <c r="G108" i="1" s="1"/>
  <c r="F107" i="1"/>
  <c r="F108" i="1" s="1"/>
  <c r="E107" i="1"/>
  <c r="E108" i="1" s="1"/>
  <c r="D107" i="1"/>
  <c r="D108" i="1" s="1"/>
  <c r="C107" i="1"/>
  <c r="C108" i="1" s="1"/>
  <c r="B107" i="1"/>
  <c r="B108" i="1" s="1"/>
  <c r="A107" i="1"/>
  <c r="A108" i="1" s="1"/>
  <c r="N104" i="1"/>
  <c r="N105" i="1" s="1"/>
  <c r="I104" i="1"/>
  <c r="I105" i="1" s="1"/>
  <c r="H104" i="1"/>
  <c r="H105" i="1" s="1"/>
  <c r="G104" i="1"/>
  <c r="G105" i="1" s="1"/>
  <c r="F104" i="1"/>
  <c r="F105" i="1" s="1"/>
  <c r="E104" i="1"/>
  <c r="E105" i="1" s="1"/>
  <c r="D104" i="1"/>
  <c r="D105" i="1" s="1"/>
  <c r="C104" i="1"/>
  <c r="C105" i="1" s="1"/>
  <c r="B104" i="1"/>
  <c r="B105" i="1" s="1"/>
  <c r="A104" i="1"/>
  <c r="A105" i="1" s="1"/>
  <c r="N102" i="1"/>
  <c r="N101" i="1"/>
  <c r="I101" i="1"/>
  <c r="I102" i="1" s="1"/>
  <c r="H101" i="1"/>
  <c r="H102" i="1" s="1"/>
  <c r="G101" i="1"/>
  <c r="G102" i="1" s="1"/>
  <c r="F101" i="1"/>
  <c r="F102" i="1" s="1"/>
  <c r="E101" i="1"/>
  <c r="E102" i="1" s="1"/>
  <c r="D101" i="1"/>
  <c r="D102" i="1" s="1"/>
  <c r="C101" i="1"/>
  <c r="C102" i="1" s="1"/>
  <c r="B101" i="1"/>
  <c r="B102" i="1" s="1"/>
  <c r="A101" i="1"/>
  <c r="A102" i="1" s="1"/>
  <c r="N98" i="1"/>
  <c r="N99" i="1" s="1"/>
  <c r="I98" i="1"/>
  <c r="I99" i="1" s="1"/>
  <c r="H98" i="1"/>
  <c r="H99" i="1" s="1"/>
  <c r="G98" i="1"/>
  <c r="G99" i="1" s="1"/>
  <c r="F98" i="1"/>
  <c r="F99" i="1" s="1"/>
  <c r="E98" i="1"/>
  <c r="E99" i="1" s="1"/>
  <c r="D98" i="1"/>
  <c r="D99" i="1" s="1"/>
  <c r="C98" i="1"/>
  <c r="C99" i="1" s="1"/>
  <c r="B98" i="1"/>
  <c r="B99" i="1" s="1"/>
  <c r="A98" i="1"/>
  <c r="A99" i="1" s="1"/>
  <c r="N95" i="1"/>
  <c r="N96" i="1" s="1"/>
  <c r="I95" i="1"/>
  <c r="I96" i="1" s="1"/>
  <c r="H95" i="1"/>
  <c r="H96" i="1" s="1"/>
  <c r="G95" i="1"/>
  <c r="G96" i="1" s="1"/>
  <c r="F95" i="1"/>
  <c r="F96" i="1" s="1"/>
  <c r="E95" i="1"/>
  <c r="E96" i="1" s="1"/>
  <c r="D95" i="1"/>
  <c r="D96" i="1" s="1"/>
  <c r="C95" i="1"/>
  <c r="C96" i="1" s="1"/>
  <c r="B95" i="1"/>
  <c r="B96" i="1" s="1"/>
  <c r="A95" i="1"/>
  <c r="A96" i="1" s="1"/>
  <c r="N92" i="1"/>
  <c r="N93" i="1" s="1"/>
  <c r="I92" i="1"/>
  <c r="I93" i="1" s="1"/>
  <c r="H92" i="1"/>
  <c r="H93" i="1" s="1"/>
  <c r="G92" i="1"/>
  <c r="G93" i="1" s="1"/>
  <c r="F92" i="1"/>
  <c r="F93" i="1" s="1"/>
  <c r="E92" i="1"/>
  <c r="E93" i="1" s="1"/>
  <c r="D92" i="1"/>
  <c r="D93" i="1" s="1"/>
  <c r="C92" i="1"/>
  <c r="C93" i="1" s="1"/>
  <c r="B92" i="1"/>
  <c r="B93" i="1" s="1"/>
  <c r="A92" i="1"/>
  <c r="A93" i="1" s="1"/>
  <c r="N89" i="1"/>
  <c r="N90" i="1" s="1"/>
  <c r="I89" i="1"/>
  <c r="I90" i="1" s="1"/>
  <c r="H89" i="1"/>
  <c r="H90" i="1" s="1"/>
  <c r="G89" i="1"/>
  <c r="G90" i="1" s="1"/>
  <c r="F89" i="1"/>
  <c r="F90" i="1" s="1"/>
  <c r="E89" i="1"/>
  <c r="E90" i="1" s="1"/>
  <c r="D89" i="1"/>
  <c r="D90" i="1" s="1"/>
  <c r="C89" i="1"/>
  <c r="C90" i="1" s="1"/>
  <c r="B89" i="1"/>
  <c r="B90" i="1" s="1"/>
  <c r="A89" i="1"/>
  <c r="A90" i="1" s="1"/>
  <c r="N86" i="1"/>
  <c r="N87" i="1" s="1"/>
  <c r="I86" i="1"/>
  <c r="I87" i="1" s="1"/>
  <c r="H86" i="1"/>
  <c r="H87" i="1" s="1"/>
  <c r="G86" i="1"/>
  <c r="G87" i="1" s="1"/>
  <c r="F86" i="1"/>
  <c r="F87" i="1" s="1"/>
  <c r="E86" i="1"/>
  <c r="E87" i="1" s="1"/>
  <c r="D86" i="1"/>
  <c r="D87" i="1" s="1"/>
  <c r="C86" i="1"/>
  <c r="C87" i="1" s="1"/>
  <c r="B86" i="1"/>
  <c r="B87" i="1" s="1"/>
  <c r="A86" i="1"/>
  <c r="A87" i="1" s="1"/>
  <c r="N83" i="1"/>
  <c r="N84" i="1" s="1"/>
  <c r="I83" i="1"/>
  <c r="I84" i="1" s="1"/>
  <c r="H83" i="1"/>
  <c r="H84" i="1" s="1"/>
  <c r="G83" i="1"/>
  <c r="G84" i="1" s="1"/>
  <c r="F83" i="1"/>
  <c r="F84" i="1" s="1"/>
  <c r="E83" i="1"/>
  <c r="E84" i="1" s="1"/>
  <c r="D83" i="1"/>
  <c r="D84" i="1" s="1"/>
  <c r="C83" i="1"/>
  <c r="C84" i="1" s="1"/>
  <c r="B83" i="1"/>
  <c r="B84" i="1" s="1"/>
  <c r="A83" i="1"/>
  <c r="A84" i="1" s="1"/>
  <c r="N80" i="1"/>
  <c r="N81" i="1" s="1"/>
  <c r="I80" i="1"/>
  <c r="I81" i="1" s="1"/>
  <c r="H80" i="1"/>
  <c r="H81" i="1" s="1"/>
  <c r="G80" i="1"/>
  <c r="G81" i="1" s="1"/>
  <c r="F80" i="1"/>
  <c r="F81" i="1" s="1"/>
  <c r="E80" i="1"/>
  <c r="E81" i="1" s="1"/>
  <c r="D80" i="1"/>
  <c r="D81" i="1" s="1"/>
  <c r="C80" i="1"/>
  <c r="C81" i="1" s="1"/>
  <c r="B80" i="1"/>
  <c r="B81" i="1" s="1"/>
  <c r="A80" i="1"/>
  <c r="A81" i="1" s="1"/>
  <c r="N77" i="1"/>
  <c r="N78" i="1" s="1"/>
  <c r="I77" i="1"/>
  <c r="I78" i="1" s="1"/>
  <c r="H77" i="1"/>
  <c r="H78" i="1" s="1"/>
  <c r="G77" i="1"/>
  <c r="G78" i="1" s="1"/>
  <c r="F77" i="1"/>
  <c r="F78" i="1" s="1"/>
  <c r="E77" i="1"/>
  <c r="E78" i="1" s="1"/>
  <c r="D77" i="1"/>
  <c r="D78" i="1" s="1"/>
  <c r="C77" i="1"/>
  <c r="C78" i="1" s="1"/>
  <c r="B77" i="1"/>
  <c r="B78" i="1" s="1"/>
  <c r="A77" i="1"/>
  <c r="A78" i="1" s="1"/>
  <c r="N74" i="1"/>
  <c r="N75" i="1" s="1"/>
  <c r="I74" i="1"/>
  <c r="I75" i="1" s="1"/>
  <c r="H74" i="1"/>
  <c r="H75" i="1" s="1"/>
  <c r="G74" i="1"/>
  <c r="G75" i="1" s="1"/>
  <c r="F74" i="1"/>
  <c r="F75" i="1" s="1"/>
  <c r="E74" i="1"/>
  <c r="E75" i="1" s="1"/>
  <c r="D74" i="1"/>
  <c r="D75" i="1" s="1"/>
  <c r="C74" i="1"/>
  <c r="C75" i="1" s="1"/>
  <c r="B74" i="1"/>
  <c r="B75" i="1" s="1"/>
  <c r="A74" i="1"/>
  <c r="A75" i="1" s="1"/>
  <c r="N71" i="1"/>
  <c r="N72" i="1" s="1"/>
  <c r="I71" i="1"/>
  <c r="I72" i="1" s="1"/>
  <c r="H71" i="1"/>
  <c r="H72" i="1" s="1"/>
  <c r="G71" i="1"/>
  <c r="G72" i="1" s="1"/>
  <c r="F71" i="1"/>
  <c r="F72" i="1" s="1"/>
  <c r="E71" i="1"/>
  <c r="E72" i="1" s="1"/>
  <c r="D71" i="1"/>
  <c r="D72" i="1" s="1"/>
  <c r="C71" i="1"/>
  <c r="C72" i="1" s="1"/>
  <c r="B71" i="1"/>
  <c r="B72" i="1" s="1"/>
  <c r="A71" i="1"/>
  <c r="A72" i="1" s="1"/>
  <c r="N68" i="1"/>
  <c r="N69" i="1" s="1"/>
  <c r="I68" i="1"/>
  <c r="I69" i="1" s="1"/>
  <c r="H68" i="1"/>
  <c r="H69" i="1" s="1"/>
  <c r="G68" i="1"/>
  <c r="G69" i="1" s="1"/>
  <c r="F68" i="1"/>
  <c r="F69" i="1" s="1"/>
  <c r="E68" i="1"/>
  <c r="E69" i="1" s="1"/>
  <c r="D68" i="1"/>
  <c r="D69" i="1" s="1"/>
  <c r="C68" i="1"/>
  <c r="C69" i="1" s="1"/>
  <c r="B68" i="1"/>
  <c r="B69" i="1" s="1"/>
  <c r="A68" i="1"/>
  <c r="A69" i="1" s="1"/>
  <c r="N65" i="1"/>
  <c r="N66" i="1" s="1"/>
  <c r="I65" i="1"/>
  <c r="I66" i="1" s="1"/>
  <c r="H65" i="1"/>
  <c r="H66" i="1" s="1"/>
  <c r="G65" i="1"/>
  <c r="G66" i="1" s="1"/>
  <c r="F65" i="1"/>
  <c r="F66" i="1" s="1"/>
  <c r="E65" i="1"/>
  <c r="E66" i="1" s="1"/>
  <c r="D65" i="1"/>
  <c r="D66" i="1" s="1"/>
  <c r="C65" i="1"/>
  <c r="C66" i="1" s="1"/>
  <c r="B65" i="1"/>
  <c r="B66" i="1" s="1"/>
  <c r="A65" i="1"/>
  <c r="A66" i="1" s="1"/>
  <c r="N62" i="1"/>
  <c r="N63" i="1" s="1"/>
  <c r="I62" i="1"/>
  <c r="I63" i="1" s="1"/>
  <c r="H62" i="1"/>
  <c r="H63" i="1" s="1"/>
  <c r="G62" i="1"/>
  <c r="G63" i="1" s="1"/>
  <c r="F62" i="1"/>
  <c r="F63" i="1" s="1"/>
  <c r="E62" i="1"/>
  <c r="E63" i="1" s="1"/>
  <c r="D62" i="1"/>
  <c r="D63" i="1" s="1"/>
  <c r="C62" i="1"/>
  <c r="C63" i="1" s="1"/>
  <c r="B62" i="1"/>
  <c r="B63" i="1" s="1"/>
  <c r="A62" i="1"/>
  <c r="A63" i="1" s="1"/>
  <c r="N59" i="1"/>
  <c r="N60" i="1" s="1"/>
  <c r="I59" i="1"/>
  <c r="I60" i="1" s="1"/>
  <c r="H59" i="1"/>
  <c r="H60" i="1" s="1"/>
  <c r="G59" i="1"/>
  <c r="G60" i="1" s="1"/>
  <c r="F59" i="1"/>
  <c r="F60" i="1" s="1"/>
  <c r="E59" i="1"/>
  <c r="E60" i="1" s="1"/>
  <c r="D59" i="1"/>
  <c r="D60" i="1" s="1"/>
  <c r="C59" i="1"/>
  <c r="C60" i="1" s="1"/>
  <c r="B59" i="1"/>
  <c r="B60" i="1" s="1"/>
  <c r="A59" i="1"/>
  <c r="A60" i="1" s="1"/>
  <c r="N56" i="1"/>
  <c r="N57" i="1" s="1"/>
  <c r="I56" i="1"/>
  <c r="I57" i="1" s="1"/>
  <c r="H56" i="1"/>
  <c r="H57" i="1" s="1"/>
  <c r="G56" i="1"/>
  <c r="G57" i="1" s="1"/>
  <c r="F56" i="1"/>
  <c r="F57" i="1" s="1"/>
  <c r="E56" i="1"/>
  <c r="E57" i="1" s="1"/>
  <c r="D56" i="1"/>
  <c r="D57" i="1" s="1"/>
  <c r="C56" i="1"/>
  <c r="C57" i="1" s="1"/>
  <c r="B56" i="1"/>
  <c r="B57" i="1" s="1"/>
  <c r="A56" i="1"/>
  <c r="A57" i="1" s="1"/>
  <c r="N53" i="1"/>
  <c r="N54" i="1" s="1"/>
  <c r="I53" i="1"/>
  <c r="I54" i="1" s="1"/>
  <c r="H53" i="1"/>
  <c r="H54" i="1" s="1"/>
  <c r="G53" i="1"/>
  <c r="G54" i="1" s="1"/>
  <c r="F53" i="1"/>
  <c r="F54" i="1" s="1"/>
  <c r="E53" i="1"/>
  <c r="E54" i="1" s="1"/>
  <c r="D53" i="1"/>
  <c r="D54" i="1" s="1"/>
  <c r="C53" i="1"/>
  <c r="C54" i="1" s="1"/>
  <c r="B53" i="1"/>
  <c r="B54" i="1" s="1"/>
  <c r="A53" i="1"/>
  <c r="A54" i="1" s="1"/>
  <c r="H51" i="1"/>
  <c r="N50" i="1"/>
  <c r="N51" i="1" s="1"/>
  <c r="I50" i="1"/>
  <c r="I51" i="1" s="1"/>
  <c r="H50" i="1"/>
  <c r="G50" i="1"/>
  <c r="G51" i="1" s="1"/>
  <c r="F50" i="1"/>
  <c r="F51" i="1" s="1"/>
  <c r="E50" i="1"/>
  <c r="E51" i="1" s="1"/>
  <c r="D50" i="1"/>
  <c r="D51" i="1" s="1"/>
  <c r="C50" i="1"/>
  <c r="C51" i="1" s="1"/>
  <c r="B50" i="1"/>
  <c r="B51" i="1" s="1"/>
  <c r="A50" i="1"/>
  <c r="A51" i="1" s="1"/>
  <c r="N47" i="1"/>
  <c r="N48" i="1" s="1"/>
  <c r="I47" i="1"/>
  <c r="I48" i="1" s="1"/>
  <c r="H47" i="1"/>
  <c r="H48" i="1" s="1"/>
  <c r="G47" i="1"/>
  <c r="G48" i="1" s="1"/>
  <c r="F47" i="1"/>
  <c r="F48" i="1" s="1"/>
  <c r="E47" i="1"/>
  <c r="E48" i="1" s="1"/>
  <c r="D47" i="1"/>
  <c r="D48" i="1" s="1"/>
  <c r="C47" i="1"/>
  <c r="C48" i="1" s="1"/>
  <c r="B47" i="1"/>
  <c r="B48" i="1" s="1"/>
  <c r="A47" i="1"/>
  <c r="A48" i="1" s="1"/>
  <c r="N44" i="1"/>
  <c r="N45" i="1" s="1"/>
  <c r="I44" i="1"/>
  <c r="I45" i="1" s="1"/>
  <c r="H44" i="1"/>
  <c r="H45" i="1" s="1"/>
  <c r="G44" i="1"/>
  <c r="G45" i="1" s="1"/>
  <c r="F44" i="1"/>
  <c r="F45" i="1" s="1"/>
  <c r="E44" i="1"/>
  <c r="E45" i="1" s="1"/>
  <c r="D44" i="1"/>
  <c r="D45" i="1" s="1"/>
  <c r="C44" i="1"/>
  <c r="C45" i="1" s="1"/>
  <c r="B44" i="1"/>
  <c r="B45" i="1" s="1"/>
  <c r="A44" i="1"/>
  <c r="A45" i="1" s="1"/>
  <c r="N41" i="1"/>
  <c r="N42" i="1" s="1"/>
  <c r="I41" i="1"/>
  <c r="I42" i="1" s="1"/>
  <c r="H41" i="1"/>
  <c r="H42" i="1" s="1"/>
  <c r="G41" i="1"/>
  <c r="G42" i="1" s="1"/>
  <c r="F41" i="1"/>
  <c r="F42" i="1" s="1"/>
  <c r="E41" i="1"/>
  <c r="E42" i="1" s="1"/>
  <c r="D41" i="1"/>
  <c r="D42" i="1" s="1"/>
  <c r="C41" i="1"/>
  <c r="C42" i="1" s="1"/>
  <c r="B41" i="1"/>
  <c r="B42" i="1" s="1"/>
  <c r="A41" i="1"/>
  <c r="A42" i="1" s="1"/>
  <c r="I39" i="1"/>
  <c r="N38" i="1"/>
  <c r="N39" i="1" s="1"/>
  <c r="I38" i="1"/>
  <c r="H38" i="1"/>
  <c r="H39" i="1" s="1"/>
  <c r="G38" i="1"/>
  <c r="G39" i="1" s="1"/>
  <c r="F38" i="1"/>
  <c r="F39" i="1" s="1"/>
  <c r="E38" i="1"/>
  <c r="E39" i="1" s="1"/>
  <c r="D38" i="1"/>
  <c r="D39" i="1" s="1"/>
  <c r="C38" i="1"/>
  <c r="C39" i="1" s="1"/>
  <c r="B38" i="1"/>
  <c r="B39" i="1" s="1"/>
  <c r="A38" i="1"/>
  <c r="A39" i="1" s="1"/>
  <c r="N35" i="1"/>
  <c r="N36" i="1" s="1"/>
  <c r="I35" i="1"/>
  <c r="I36" i="1" s="1"/>
  <c r="H35" i="1"/>
  <c r="H36" i="1" s="1"/>
  <c r="G35" i="1"/>
  <c r="G36" i="1" s="1"/>
  <c r="F35" i="1"/>
  <c r="F36" i="1" s="1"/>
  <c r="E35" i="1"/>
  <c r="E36" i="1" s="1"/>
  <c r="D35" i="1"/>
  <c r="D36" i="1" s="1"/>
  <c r="C35" i="1"/>
  <c r="C36" i="1" s="1"/>
  <c r="B35" i="1"/>
  <c r="B36" i="1" s="1"/>
  <c r="A35" i="1"/>
  <c r="A36" i="1" s="1"/>
  <c r="N32" i="1"/>
  <c r="N33" i="1" s="1"/>
  <c r="I32" i="1"/>
  <c r="I33" i="1" s="1"/>
  <c r="H32" i="1"/>
  <c r="H33" i="1" s="1"/>
  <c r="G32" i="1"/>
  <c r="G33" i="1" s="1"/>
  <c r="F32" i="1"/>
  <c r="F33" i="1" s="1"/>
  <c r="E32" i="1"/>
  <c r="E33" i="1" s="1"/>
  <c r="D32" i="1"/>
  <c r="D33" i="1" s="1"/>
  <c r="C32" i="1"/>
  <c r="C33" i="1" s="1"/>
  <c r="B32" i="1"/>
  <c r="B33" i="1" s="1"/>
  <c r="A32" i="1"/>
  <c r="A33" i="1" s="1"/>
  <c r="N29" i="1"/>
  <c r="N30" i="1" s="1"/>
  <c r="I29" i="1"/>
  <c r="I30" i="1" s="1"/>
  <c r="H29" i="1"/>
  <c r="H30" i="1" s="1"/>
  <c r="G29" i="1"/>
  <c r="G30" i="1" s="1"/>
  <c r="F29" i="1"/>
  <c r="F30" i="1" s="1"/>
  <c r="E29" i="1"/>
  <c r="E30" i="1" s="1"/>
  <c r="D29" i="1"/>
  <c r="D30" i="1" s="1"/>
  <c r="C29" i="1"/>
  <c r="C30" i="1" s="1"/>
  <c r="B29" i="1"/>
  <c r="B30" i="1" s="1"/>
  <c r="A29" i="1"/>
  <c r="A30" i="1" s="1"/>
  <c r="N26" i="1"/>
  <c r="N27" i="1" s="1"/>
  <c r="I26" i="1"/>
  <c r="I27" i="1" s="1"/>
  <c r="H26" i="1"/>
  <c r="H27" i="1" s="1"/>
  <c r="G26" i="1"/>
  <c r="G27" i="1" s="1"/>
  <c r="F26" i="1"/>
  <c r="F27" i="1" s="1"/>
  <c r="E26" i="1"/>
  <c r="E27" i="1" s="1"/>
  <c r="D26" i="1"/>
  <c r="D27" i="1" s="1"/>
  <c r="C26" i="1"/>
  <c r="C27" i="1" s="1"/>
  <c r="B26" i="1"/>
  <c r="B27" i="1" s="1"/>
  <c r="A26" i="1"/>
  <c r="A27" i="1" s="1"/>
  <c r="N23" i="1"/>
  <c r="N24" i="1" s="1"/>
  <c r="I23" i="1"/>
  <c r="I24" i="1" s="1"/>
  <c r="H23" i="1"/>
  <c r="H24" i="1" s="1"/>
  <c r="G23" i="1"/>
  <c r="G24" i="1" s="1"/>
  <c r="F23" i="1"/>
  <c r="F24" i="1" s="1"/>
  <c r="E23" i="1"/>
  <c r="E24" i="1" s="1"/>
  <c r="D23" i="1"/>
  <c r="D24" i="1" s="1"/>
  <c r="C23" i="1"/>
  <c r="C24" i="1" s="1"/>
  <c r="B23" i="1"/>
  <c r="B24" i="1" s="1"/>
  <c r="A23" i="1"/>
  <c r="A24" i="1" s="1"/>
  <c r="N20" i="1"/>
  <c r="N21" i="1" s="1"/>
  <c r="I20" i="1"/>
  <c r="I21" i="1" s="1"/>
  <c r="H20" i="1"/>
  <c r="H21" i="1" s="1"/>
  <c r="G20" i="1"/>
  <c r="G21" i="1" s="1"/>
  <c r="F20" i="1"/>
  <c r="F21" i="1" s="1"/>
  <c r="E20" i="1"/>
  <c r="E21" i="1" s="1"/>
  <c r="D20" i="1"/>
  <c r="D21" i="1" s="1"/>
  <c r="C20" i="1"/>
  <c r="C21" i="1" s="1"/>
  <c r="B20" i="1"/>
  <c r="B21" i="1" s="1"/>
  <c r="A20" i="1"/>
  <c r="A21" i="1" s="1"/>
  <c r="N17" i="1"/>
  <c r="N18" i="1" s="1"/>
  <c r="I17" i="1"/>
  <c r="I18" i="1" s="1"/>
  <c r="H17" i="1"/>
  <c r="H18" i="1" s="1"/>
  <c r="G17" i="1"/>
  <c r="G18" i="1" s="1"/>
  <c r="F17" i="1"/>
  <c r="F18" i="1" s="1"/>
  <c r="E17" i="1"/>
  <c r="E18" i="1" s="1"/>
  <c r="D17" i="1"/>
  <c r="D18" i="1" s="1"/>
  <c r="C17" i="1"/>
  <c r="C18" i="1" s="1"/>
  <c r="B17" i="1"/>
  <c r="B18" i="1" s="1"/>
  <c r="A17" i="1"/>
  <c r="A18" i="1" s="1"/>
  <c r="N14" i="1"/>
  <c r="N15" i="1" s="1"/>
  <c r="I14" i="1"/>
  <c r="I15" i="1" s="1"/>
  <c r="H14" i="1"/>
  <c r="H15" i="1" s="1"/>
  <c r="G14" i="1"/>
  <c r="G15" i="1" s="1"/>
  <c r="F14" i="1"/>
  <c r="F15" i="1" s="1"/>
  <c r="E14" i="1"/>
  <c r="E15" i="1" s="1"/>
  <c r="D14" i="1"/>
  <c r="D15" i="1" s="1"/>
  <c r="C14" i="1"/>
  <c r="C15" i="1" s="1"/>
  <c r="B14" i="1"/>
  <c r="B15" i="1" s="1"/>
  <c r="A14" i="1"/>
  <c r="A15" i="1" s="1"/>
  <c r="N11" i="1"/>
  <c r="N12" i="1" s="1"/>
  <c r="I11" i="1"/>
  <c r="I12" i="1" s="1"/>
  <c r="H11" i="1"/>
  <c r="H12" i="1" s="1"/>
  <c r="G11" i="1"/>
  <c r="G12" i="1" s="1"/>
  <c r="F11" i="1"/>
  <c r="F12" i="1" s="1"/>
  <c r="E11" i="1"/>
  <c r="E12" i="1" s="1"/>
  <c r="D11" i="1"/>
  <c r="D12" i="1" s="1"/>
  <c r="C11" i="1"/>
  <c r="C12" i="1" s="1"/>
  <c r="B11" i="1"/>
  <c r="B12" i="1" s="1"/>
  <c r="A11" i="1"/>
  <c r="A12" i="1" s="1"/>
  <c r="N8" i="1"/>
  <c r="N9" i="1" s="1"/>
  <c r="I8" i="1"/>
  <c r="I9" i="1" s="1"/>
  <c r="H8" i="1"/>
  <c r="H9" i="1" s="1"/>
  <c r="G8" i="1"/>
  <c r="G9" i="1" s="1"/>
  <c r="F8" i="1"/>
  <c r="F9" i="1" s="1"/>
  <c r="E8" i="1"/>
  <c r="E9" i="1" s="1"/>
  <c r="D8" i="1"/>
  <c r="D9" i="1" s="1"/>
  <c r="C8" i="1"/>
  <c r="C9" i="1" s="1"/>
  <c r="B8" i="1"/>
  <c r="B9" i="1" s="1"/>
  <c r="A8" i="1"/>
  <c r="A9" i="1" s="1"/>
  <c r="N5" i="1"/>
  <c r="N6" i="1" s="1"/>
  <c r="I5" i="1"/>
  <c r="I6" i="1" s="1"/>
  <c r="H5" i="1"/>
  <c r="H6" i="1" s="1"/>
  <c r="G5" i="1"/>
  <c r="G6" i="1" s="1"/>
  <c r="F5" i="1"/>
  <c r="F6" i="1" s="1"/>
  <c r="E5" i="1"/>
  <c r="E6" i="1" s="1"/>
  <c r="D5" i="1"/>
  <c r="D6" i="1" s="1"/>
  <c r="C5" i="1"/>
  <c r="C6" i="1" s="1"/>
  <c r="B5" i="1"/>
  <c r="B6" i="1" s="1"/>
  <c r="A5" i="1"/>
  <c r="A6" i="1" s="1"/>
  <c r="U2" i="3" l="1"/>
  <c r="T2" i="3"/>
  <c r="V177" i="3" s="1"/>
  <c r="W177" i="3" s="1"/>
  <c r="V185" i="3" l="1"/>
  <c r="W185" i="3" s="1"/>
  <c r="V184" i="3"/>
  <c r="W184" i="3" s="1"/>
  <c r="V110" i="3"/>
  <c r="W110" i="3" s="1"/>
  <c r="V179" i="3"/>
  <c r="W179" i="3" s="1"/>
  <c r="V71" i="3"/>
  <c r="W71" i="3" s="1"/>
  <c r="V53" i="3"/>
  <c r="W53" i="3" s="1"/>
  <c r="V9" i="3"/>
  <c r="W9" i="3" s="1"/>
  <c r="V30" i="3"/>
  <c r="W30" i="3" s="1"/>
  <c r="V25" i="3"/>
  <c r="W25" i="3" s="1"/>
  <c r="V127" i="3"/>
  <c r="W127" i="3" s="1"/>
  <c r="V143" i="3"/>
  <c r="W143" i="3" s="1"/>
  <c r="V165" i="3"/>
  <c r="W165" i="3" s="1"/>
  <c r="V161" i="3"/>
  <c r="W161" i="3" s="1"/>
  <c r="V157" i="3"/>
  <c r="W157" i="3" s="1"/>
  <c r="V148" i="3"/>
  <c r="W148" i="3" s="1"/>
  <c r="V139" i="3"/>
  <c r="W139" i="3" s="1"/>
  <c r="V175" i="3"/>
  <c r="W175" i="3" s="1"/>
  <c r="V167" i="3"/>
  <c r="W167" i="3" s="1"/>
  <c r="V41" i="3"/>
  <c r="W41" i="3" s="1"/>
  <c r="V5" i="3"/>
  <c r="W5" i="3" s="1"/>
  <c r="V27" i="3"/>
  <c r="W27" i="3" s="1"/>
  <c r="V106" i="3"/>
  <c r="W106" i="3" s="1"/>
  <c r="V122" i="3"/>
  <c r="W122" i="3" s="1"/>
  <c r="V123" i="3"/>
  <c r="W123" i="3" s="1"/>
  <c r="V63" i="3"/>
  <c r="W63" i="3" s="1"/>
  <c r="V101" i="3"/>
  <c r="W101" i="3" s="1"/>
  <c r="V159" i="3"/>
  <c r="W159" i="3" s="1"/>
  <c r="V47" i="3"/>
  <c r="W47" i="3" s="1"/>
  <c r="V142" i="3"/>
  <c r="W142" i="3" s="1"/>
  <c r="V34" i="3"/>
  <c r="W34" i="3" s="1"/>
  <c r="V100" i="3"/>
  <c r="W100" i="3" s="1"/>
  <c r="AC26" i="3"/>
  <c r="AC22" i="3"/>
  <c r="AC15" i="3"/>
  <c r="AC10" i="3"/>
  <c r="AC19" i="3"/>
  <c r="AC8" i="3"/>
  <c r="AC4" i="3"/>
  <c r="V83" i="3"/>
  <c r="W83" i="3" s="1"/>
  <c r="V66" i="3"/>
  <c r="W66" i="3" s="1"/>
  <c r="V64" i="3"/>
  <c r="W64" i="3" s="1"/>
  <c r="V48" i="3"/>
  <c r="W48" i="3" s="1"/>
  <c r="V46" i="3"/>
  <c r="W46" i="3" s="1"/>
  <c r="V29" i="3"/>
  <c r="W29" i="3" s="1"/>
  <c r="V22" i="3"/>
  <c r="W22" i="3" s="1"/>
  <c r="V7" i="3"/>
  <c r="W7" i="3" s="1"/>
  <c r="V168" i="3"/>
  <c r="W168" i="3" s="1"/>
  <c r="V166" i="3"/>
  <c r="W166" i="3" s="1"/>
  <c r="V164" i="3"/>
  <c r="W164" i="3" s="1"/>
  <c r="V162" i="3"/>
  <c r="W162" i="3" s="1"/>
  <c r="V160" i="3"/>
  <c r="W160" i="3" s="1"/>
  <c r="V158" i="3"/>
  <c r="W158" i="3" s="1"/>
  <c r="V156" i="3"/>
  <c r="W156" i="3" s="1"/>
  <c r="V149" i="3"/>
  <c r="W149" i="3" s="1"/>
  <c r="V147" i="3"/>
  <c r="W147" i="3" s="1"/>
  <c r="V145" i="3"/>
  <c r="W145" i="3" s="1"/>
  <c r="V128" i="3"/>
  <c r="W128" i="3" s="1"/>
  <c r="V111" i="3"/>
  <c r="W111" i="3" s="1"/>
  <c r="V109" i="3"/>
  <c r="W109" i="3" s="1"/>
  <c r="V107" i="3"/>
  <c r="W107" i="3" s="1"/>
  <c r="V72" i="3"/>
  <c r="W72" i="3" s="1"/>
  <c r="V70" i="3"/>
  <c r="W70" i="3" s="1"/>
  <c r="V61" i="3"/>
  <c r="W61" i="3" s="1"/>
  <c r="V54" i="3"/>
  <c r="W54" i="3" s="1"/>
  <c r="V52" i="3"/>
  <c r="W52" i="3" s="1"/>
  <c r="V26" i="3"/>
  <c r="W26" i="3" s="1"/>
  <c r="V15" i="3"/>
  <c r="W15" i="3" s="1"/>
  <c r="V193" i="3"/>
  <c r="W193" i="3" s="1"/>
  <c r="V153" i="3"/>
  <c r="W153" i="3" s="1"/>
  <c r="V151" i="3"/>
  <c r="W151" i="3" s="1"/>
  <c r="V134" i="3"/>
  <c r="W134" i="3" s="1"/>
  <c r="V117" i="3"/>
  <c r="W117" i="3" s="1"/>
  <c r="V115" i="3"/>
  <c r="W115" i="3" s="1"/>
  <c r="V92" i="3"/>
  <c r="W92" i="3" s="1"/>
  <c r="V90" i="3"/>
  <c r="W90" i="3" s="1"/>
  <c r="AC27" i="3"/>
  <c r="AC20" i="3"/>
  <c r="AC9" i="3"/>
  <c r="AC5" i="3"/>
  <c r="V87" i="3"/>
  <c r="W87" i="3" s="1"/>
  <c r="V85" i="3"/>
  <c r="W85" i="3" s="1"/>
  <c r="V58" i="3"/>
  <c r="W58" i="3" s="1"/>
  <c r="V35" i="3"/>
  <c r="W35" i="3" s="1"/>
  <c r="V19" i="3"/>
  <c r="W19" i="3" s="1"/>
  <c r="V8" i="3"/>
  <c r="W8" i="3" s="1"/>
  <c r="V4" i="3"/>
  <c r="W4" i="3" s="1"/>
  <c r="V180" i="3"/>
  <c r="W180" i="3" s="1"/>
  <c r="V121" i="3"/>
  <c r="W121" i="3" s="1"/>
  <c r="AC24" i="3"/>
  <c r="AC13" i="3"/>
  <c r="AC28" i="3"/>
  <c r="AC21" i="3"/>
  <c r="AC16" i="3"/>
  <c r="AC11" i="3"/>
  <c r="AC6" i="3"/>
  <c r="AC25" i="3"/>
  <c r="AC14" i="3"/>
  <c r="V154" i="3"/>
  <c r="W154" i="3" s="1"/>
  <c r="V152" i="3"/>
  <c r="W152" i="3" s="1"/>
  <c r="V135" i="3"/>
  <c r="W135" i="3" s="1"/>
  <c r="V133" i="3"/>
  <c r="W133" i="3" s="1"/>
  <c r="V93" i="3"/>
  <c r="W93" i="3" s="1"/>
  <c r="AC18" i="3"/>
  <c r="AC7" i="3"/>
  <c r="AC12" i="3"/>
  <c r="V28" i="3"/>
  <c r="W28" i="3" s="1"/>
  <c r="AC23" i="3"/>
  <c r="V88" i="3"/>
  <c r="W88" i="3" s="1"/>
  <c r="AC17" i="3"/>
  <c r="V36" i="3"/>
  <c r="W36" i="3" s="1"/>
  <c r="V6" i="3"/>
  <c r="W6" i="3" s="1"/>
  <c r="V86" i="3"/>
  <c r="W86" i="3" s="1"/>
  <c r="V21" i="3"/>
  <c r="W21" i="3" s="1"/>
  <c r="V65" i="3"/>
  <c r="W65" i="3" s="1"/>
  <c r="V108" i="3"/>
  <c r="W108" i="3" s="1"/>
  <c r="V129" i="3"/>
  <c r="W129" i="3" s="1"/>
  <c r="V144" i="3"/>
  <c r="W144" i="3" s="1"/>
  <c r="V150" i="3"/>
  <c r="W150" i="3" s="1"/>
  <c r="V116" i="3"/>
  <c r="W116" i="3" s="1"/>
  <c r="V140" i="3"/>
  <c r="W140" i="3" s="1"/>
  <c r="V178" i="3"/>
  <c r="W178" i="3" s="1"/>
  <c r="V163" i="3"/>
  <c r="W163" i="3" s="1"/>
  <c r="V14" i="3"/>
  <c r="W14" i="3" s="1"/>
  <c r="V91" i="3"/>
  <c r="W91" i="3" s="1"/>
  <c r="V82" i="3"/>
  <c r="W82" i="3" s="1"/>
  <c r="V186" i="3"/>
  <c r="W186" i="3" s="1"/>
  <c r="V84" i="3"/>
  <c r="W84" i="3" s="1"/>
  <c r="V60" i="3"/>
  <c r="W60" i="3" s="1"/>
  <c r="V146" i="3"/>
  <c r="W146" i="3" s="1"/>
  <c r="V24" i="3"/>
  <c r="W24" i="3" s="1"/>
  <c r="V102" i="3"/>
  <c r="W102" i="3" s="1"/>
  <c r="V42" i="3"/>
  <c r="W42" i="3" s="1"/>
  <c r="V20" i="3"/>
  <c r="W20" i="3" s="1"/>
  <c r="V176" i="3"/>
  <c r="W176" i="3" s="1"/>
  <c r="V40" i="3"/>
  <c r="W40" i="3" s="1"/>
  <c r="V23" i="3"/>
  <c r="W23" i="3" s="1"/>
  <c r="V141" i="3"/>
  <c r="W141" i="3" s="1"/>
  <c r="V13" i="3"/>
  <c r="W13" i="3" s="1"/>
  <c r="W2" i="3" l="1"/>
  <c r="X140" i="3" s="1"/>
  <c r="Z140" i="3" l="1"/>
  <c r="Y140" i="3"/>
  <c r="X22" i="3"/>
  <c r="X146" i="3"/>
  <c r="X168" i="3"/>
  <c r="X184" i="3"/>
  <c r="X25" i="3"/>
  <c r="X167" i="3"/>
  <c r="X4" i="3"/>
  <c r="AE25" i="3"/>
  <c r="X176" i="3"/>
  <c r="X34" i="3"/>
  <c r="AE21" i="3"/>
  <c r="X100" i="3"/>
  <c r="X83" i="3"/>
  <c r="X7" i="3"/>
  <c r="X35" i="3"/>
  <c r="AE16" i="3"/>
  <c r="X27" i="3"/>
  <c r="AE5" i="3"/>
  <c r="X102" i="3"/>
  <c r="X64" i="3"/>
  <c r="AD5" i="3"/>
  <c r="X122" i="3"/>
  <c r="X60" i="3"/>
  <c r="X117" i="3"/>
  <c r="X185" i="3"/>
  <c r="X26" i="3"/>
  <c r="X179" i="3"/>
  <c r="X8" i="3"/>
  <c r="X147" i="3"/>
  <c r="X121" i="3"/>
  <c r="AD24" i="3"/>
  <c r="AE13" i="3"/>
  <c r="X46" i="3"/>
  <c r="X70" i="3"/>
  <c r="X71" i="3"/>
  <c r="X82" i="3"/>
  <c r="X108" i="3"/>
  <c r="AE8" i="3"/>
  <c r="X143" i="3"/>
  <c r="X162" i="3"/>
  <c r="X133" i="3"/>
  <c r="AD7" i="3"/>
  <c r="X28" i="3"/>
  <c r="X109" i="3"/>
  <c r="AE9" i="3"/>
  <c r="X54" i="3"/>
  <c r="AE4" i="3"/>
  <c r="X87" i="3"/>
  <c r="X101" i="3"/>
  <c r="AD25" i="3"/>
  <c r="X123" i="3"/>
  <c r="X111" i="3"/>
  <c r="X145" i="3"/>
  <c r="X153" i="3"/>
  <c r="X115" i="3"/>
  <c r="X58" i="3"/>
  <c r="X134" i="3"/>
  <c r="AE24" i="3"/>
  <c r="AD22" i="3"/>
  <c r="X154" i="3"/>
  <c r="AD19" i="3"/>
  <c r="X144" i="3"/>
  <c r="X180" i="3"/>
  <c r="AE7" i="3"/>
  <c r="AD12" i="3"/>
  <c r="X163" i="3"/>
  <c r="X90" i="3"/>
  <c r="AD9" i="3"/>
  <c r="X150" i="3"/>
  <c r="X30" i="3"/>
  <c r="AD8" i="3"/>
  <c r="AD15" i="3"/>
  <c r="X92" i="3"/>
  <c r="X158" i="3"/>
  <c r="X127" i="3"/>
  <c r="X152" i="3"/>
  <c r="X63" i="3"/>
  <c r="X66" i="3"/>
  <c r="X86" i="3"/>
  <c r="X128" i="3"/>
  <c r="AD13" i="3"/>
  <c r="X195" i="3"/>
  <c r="X189" i="3"/>
  <c r="X182" i="3"/>
  <c r="X126" i="3"/>
  <c r="X118" i="3"/>
  <c r="X105" i="3"/>
  <c r="X98" i="3"/>
  <c r="X194" i="3"/>
  <c r="X80" i="3"/>
  <c r="X59" i="3"/>
  <c r="X33" i="3"/>
  <c r="X10" i="3"/>
  <c r="X188" i="3"/>
  <c r="X181" i="3"/>
  <c r="X132" i="3"/>
  <c r="X125" i="3"/>
  <c r="X104" i="3"/>
  <c r="X97" i="3"/>
  <c r="X79" i="3"/>
  <c r="X32" i="3"/>
  <c r="X187" i="3"/>
  <c r="X174" i="3"/>
  <c r="X138" i="3"/>
  <c r="X131" i="3"/>
  <c r="X124" i="3"/>
  <c r="X103" i="3"/>
  <c r="X96" i="3"/>
  <c r="X78" i="3"/>
  <c r="X39" i="3"/>
  <c r="X31" i="3"/>
  <c r="X17" i="3"/>
  <c r="X12" i="3"/>
  <c r="X173" i="3"/>
  <c r="X137" i="3"/>
  <c r="X130" i="3"/>
  <c r="X95" i="3"/>
  <c r="X77" i="3"/>
  <c r="X45" i="3"/>
  <c r="X38" i="3"/>
  <c r="X172" i="3"/>
  <c r="X155" i="3"/>
  <c r="X136" i="3"/>
  <c r="X94" i="3"/>
  <c r="X76" i="3"/>
  <c r="X69" i="3"/>
  <c r="X51" i="3"/>
  <c r="X44" i="3"/>
  <c r="X37" i="3"/>
  <c r="X192" i="3"/>
  <c r="X171" i="3"/>
  <c r="X114" i="3"/>
  <c r="X89" i="3"/>
  <c r="X75" i="3"/>
  <c r="X68" i="3"/>
  <c r="X57" i="3"/>
  <c r="X50" i="3"/>
  <c r="X43" i="3"/>
  <c r="X16" i="3"/>
  <c r="X11" i="3"/>
  <c r="X191" i="3"/>
  <c r="X170" i="3"/>
  <c r="X120" i="3"/>
  <c r="X113" i="3"/>
  <c r="X74" i="3"/>
  <c r="X67" i="3"/>
  <c r="X56" i="3"/>
  <c r="X49" i="3"/>
  <c r="X190" i="3"/>
  <c r="X183" i="3"/>
  <c r="X169" i="3"/>
  <c r="X119" i="3"/>
  <c r="X112" i="3"/>
  <c r="X99" i="3"/>
  <c r="X18" i="3"/>
  <c r="X81" i="3"/>
  <c r="X73" i="3"/>
  <c r="X62" i="3"/>
  <c r="X55" i="3"/>
  <c r="X177" i="3"/>
  <c r="X48" i="3"/>
  <c r="X9" i="3"/>
  <c r="X157" i="3"/>
  <c r="AE15" i="3"/>
  <c r="X156" i="3"/>
  <c r="X41" i="3"/>
  <c r="X159" i="3"/>
  <c r="X175" i="3"/>
  <c r="X5" i="3"/>
  <c r="AE22" i="3"/>
  <c r="X65" i="3"/>
  <c r="AE19" i="3"/>
  <c r="X20" i="3"/>
  <c r="AD18" i="3"/>
  <c r="AE12" i="3"/>
  <c r="X13" i="3"/>
  <c r="AD28" i="3"/>
  <c r="AD11" i="3"/>
  <c r="X164" i="3"/>
  <c r="X24" i="3"/>
  <c r="X106" i="3"/>
  <c r="AE18" i="3"/>
  <c r="X23" i="3"/>
  <c r="X178" i="3"/>
  <c r="AE27" i="3"/>
  <c r="AE28" i="3"/>
  <c r="AE11" i="3"/>
  <c r="X52" i="3"/>
  <c r="X110" i="3"/>
  <c r="X193" i="3"/>
  <c r="X149" i="3"/>
  <c r="X116" i="3"/>
  <c r="X47" i="3"/>
  <c r="X141" i="3"/>
  <c r="AD27" i="3"/>
  <c r="AD23" i="3"/>
  <c r="X36" i="3"/>
  <c r="X139" i="3"/>
  <c r="X85" i="3"/>
  <c r="AD10" i="3"/>
  <c r="X19" i="3"/>
  <c r="X151" i="3"/>
  <c r="X40" i="3"/>
  <c r="X72" i="3"/>
  <c r="X29" i="3"/>
  <c r="X91" i="3"/>
  <c r="AE23" i="3"/>
  <c r="X186" i="3"/>
  <c r="AD26" i="3"/>
  <c r="AD14" i="3"/>
  <c r="AE10" i="3"/>
  <c r="X135" i="3"/>
  <c r="X93" i="3"/>
  <c r="X107" i="3"/>
  <c r="AD17" i="3"/>
  <c r="X161" i="3"/>
  <c r="AE20" i="3"/>
  <c r="X14" i="3"/>
  <c r="X148" i="3"/>
  <c r="AE26" i="3"/>
  <c r="AE14" i="3"/>
  <c r="X160" i="3"/>
  <c r="X129" i="3"/>
  <c r="X53" i="3"/>
  <c r="X88" i="3"/>
  <c r="AE17" i="3"/>
  <c r="AD6" i="3"/>
  <c r="AD20" i="3"/>
  <c r="X165" i="3"/>
  <c r="X6" i="3"/>
  <c r="X166" i="3"/>
  <c r="X21" i="3"/>
  <c r="X15" i="3"/>
  <c r="X42" i="3"/>
  <c r="AD4" i="3"/>
  <c r="X142" i="3"/>
  <c r="X61" i="3"/>
  <c r="AE6" i="3"/>
  <c r="AD16" i="3"/>
  <c r="AD21" i="3"/>
  <c r="X84" i="3"/>
  <c r="Z165" i="3" l="1"/>
  <c r="Y165" i="3"/>
  <c r="Z91" i="3"/>
  <c r="Y91" i="3"/>
  <c r="Y7" i="3"/>
  <c r="Z7" i="3"/>
  <c r="Z20" i="3"/>
  <c r="Y20" i="3"/>
  <c r="Z147" i="3"/>
  <c r="Y147" i="3"/>
  <c r="Z52" i="3"/>
  <c r="Y52" i="3"/>
  <c r="Z109" i="3"/>
  <c r="Y109" i="3"/>
  <c r="Z148" i="3"/>
  <c r="Y148" i="3"/>
  <c r="Z151" i="3"/>
  <c r="Y151" i="3"/>
  <c r="Z158" i="3"/>
  <c r="Y158" i="3"/>
  <c r="Z26" i="3"/>
  <c r="Y26" i="3"/>
  <c r="Z160" i="3"/>
  <c r="Y160" i="3"/>
  <c r="Y29" i="3"/>
  <c r="Z29" i="3"/>
  <c r="Z63" i="3"/>
  <c r="Y63" i="3"/>
  <c r="Z72" i="3"/>
  <c r="Y72" i="3"/>
  <c r="Z152" i="3"/>
  <c r="Y152" i="3"/>
  <c r="Z28" i="3"/>
  <c r="Y28" i="3"/>
  <c r="Z19" i="3"/>
  <c r="Y19" i="3"/>
  <c r="Z92" i="3"/>
  <c r="Y92" i="3"/>
  <c r="Z134" i="3"/>
  <c r="Y134" i="3"/>
  <c r="Z133" i="3"/>
  <c r="Y133" i="3"/>
  <c r="Z185" i="3"/>
  <c r="Y185" i="3"/>
  <c r="Z176" i="3"/>
  <c r="Y176" i="3"/>
  <c r="Z36" i="3"/>
  <c r="Y36" i="3"/>
  <c r="Z193" i="3"/>
  <c r="Y193" i="3"/>
  <c r="Z54" i="3"/>
  <c r="Y54" i="3"/>
  <c r="Z61" i="3"/>
  <c r="Y61" i="3"/>
  <c r="Z142" i="3"/>
  <c r="Y142" i="3"/>
  <c r="Z8" i="3"/>
  <c r="Y8" i="3"/>
  <c r="Z40" i="3"/>
  <c r="Y40" i="3"/>
  <c r="Z127" i="3"/>
  <c r="Y127" i="3"/>
  <c r="Z42" i="3"/>
  <c r="Y42" i="3"/>
  <c r="Z15" i="3"/>
  <c r="Y15" i="3"/>
  <c r="Z21" i="3"/>
  <c r="Y21" i="3"/>
  <c r="Z161" i="3"/>
  <c r="Y161" i="3"/>
  <c r="Z178" i="3"/>
  <c r="Y178" i="3"/>
  <c r="Z175" i="3"/>
  <c r="Y175" i="3"/>
  <c r="Z58" i="3"/>
  <c r="Y58" i="3"/>
  <c r="Z162" i="3"/>
  <c r="Y162" i="3"/>
  <c r="Z117" i="3"/>
  <c r="Y117" i="3"/>
  <c r="Y66" i="3"/>
  <c r="Z66" i="3"/>
  <c r="Z154" i="3"/>
  <c r="Y154" i="3"/>
  <c r="Z5" i="3"/>
  <c r="Y5" i="3"/>
  <c r="Z85" i="3"/>
  <c r="Y85" i="3"/>
  <c r="Z159" i="3"/>
  <c r="Y159" i="3"/>
  <c r="Z115" i="3"/>
  <c r="Y115" i="3"/>
  <c r="Z60" i="3"/>
  <c r="Y60" i="3"/>
  <c r="Z4" i="3"/>
  <c r="Y4" i="3"/>
  <c r="Z121" i="3"/>
  <c r="Y121" i="3"/>
  <c r="Z110" i="3"/>
  <c r="Y110" i="3"/>
  <c r="Z100" i="3"/>
  <c r="Y100" i="3"/>
  <c r="Z65" i="3"/>
  <c r="Y65" i="3"/>
  <c r="Z179" i="3"/>
  <c r="Y179" i="3"/>
  <c r="Z14" i="3"/>
  <c r="Y14" i="3"/>
  <c r="Z166" i="3"/>
  <c r="Y166" i="3"/>
  <c r="Z23" i="3"/>
  <c r="Y23" i="3"/>
  <c r="Z6" i="3"/>
  <c r="Y6" i="3"/>
  <c r="Z107" i="3"/>
  <c r="Y107" i="3"/>
  <c r="Z139" i="3"/>
  <c r="Y139" i="3"/>
  <c r="Z41" i="3"/>
  <c r="Y41" i="3"/>
  <c r="Z30" i="3"/>
  <c r="Y30" i="3"/>
  <c r="Z153" i="3"/>
  <c r="Y153" i="3"/>
  <c r="Z122" i="3"/>
  <c r="Y122" i="3"/>
  <c r="Z167" i="3"/>
  <c r="Y167" i="3"/>
  <c r="Z93" i="3"/>
  <c r="Y93" i="3"/>
  <c r="Z156" i="3"/>
  <c r="Y156" i="3"/>
  <c r="Z24" i="3"/>
  <c r="Y24" i="3"/>
  <c r="Z111" i="3"/>
  <c r="Y111" i="3"/>
  <c r="Y64" i="3"/>
  <c r="Z64" i="3"/>
  <c r="Z157" i="3"/>
  <c r="Y157" i="3"/>
  <c r="Z90" i="3"/>
  <c r="Y90" i="3"/>
  <c r="Z71" i="3"/>
  <c r="Y71" i="3"/>
  <c r="Z102" i="3"/>
  <c r="Y102" i="3"/>
  <c r="Z168" i="3"/>
  <c r="Y168" i="3"/>
  <c r="Z141" i="3"/>
  <c r="Y141" i="3"/>
  <c r="Z9" i="3"/>
  <c r="Y9" i="3"/>
  <c r="Z163" i="3"/>
  <c r="Y163" i="3"/>
  <c r="Z70" i="3"/>
  <c r="Y70" i="3"/>
  <c r="Z146" i="3"/>
  <c r="Y146" i="3"/>
  <c r="Z106" i="3"/>
  <c r="Y106" i="3"/>
  <c r="Z145" i="3"/>
  <c r="Y145" i="3"/>
  <c r="Z108" i="3"/>
  <c r="Y108" i="3"/>
  <c r="Z25" i="3"/>
  <c r="Y25" i="3"/>
  <c r="Z135" i="3"/>
  <c r="Y135" i="3"/>
  <c r="Z82" i="3"/>
  <c r="Y82" i="3"/>
  <c r="Z184" i="3"/>
  <c r="Y184" i="3"/>
  <c r="Z164" i="3"/>
  <c r="Y164" i="3"/>
  <c r="Z88" i="3"/>
  <c r="Y88" i="3"/>
  <c r="Z47" i="3"/>
  <c r="Y47" i="3"/>
  <c r="Y48" i="3"/>
  <c r="Z48" i="3"/>
  <c r="Z101" i="3"/>
  <c r="Y101" i="3"/>
  <c r="Y46" i="3"/>
  <c r="Z46" i="3"/>
  <c r="Z53" i="3"/>
  <c r="Y53" i="3"/>
  <c r="Z186" i="3"/>
  <c r="Y186" i="3"/>
  <c r="Z116" i="3"/>
  <c r="Y116" i="3"/>
  <c r="Z13" i="3"/>
  <c r="Y13" i="3"/>
  <c r="Z177" i="3"/>
  <c r="Y177" i="3"/>
  <c r="Z128" i="3"/>
  <c r="Y128" i="3"/>
  <c r="Z87" i="3"/>
  <c r="Y87" i="3"/>
  <c r="Z129" i="3"/>
  <c r="Y129" i="3"/>
  <c r="Z149" i="3"/>
  <c r="Y149" i="3"/>
  <c r="Z86" i="3"/>
  <c r="Y86" i="3"/>
  <c r="Z180" i="3"/>
  <c r="Y180" i="3"/>
  <c r="Z35" i="3"/>
  <c r="Y35" i="3"/>
  <c r="Z2" i="3" l="1"/>
  <c r="Y2" i="3"/>
  <c r="AF23" i="3" l="1"/>
  <c r="AF17" i="3"/>
  <c r="AF12" i="3"/>
  <c r="R1" i="3"/>
  <c r="AF27" i="3"/>
  <c r="AF20" i="3"/>
  <c r="AF9" i="3"/>
  <c r="AF5" i="3"/>
  <c r="AF24" i="3"/>
  <c r="AF13" i="3"/>
  <c r="AF28" i="3"/>
  <c r="AF21" i="3"/>
  <c r="AF16" i="3"/>
  <c r="AF11" i="3"/>
  <c r="AF6" i="3"/>
  <c r="AF25" i="3"/>
  <c r="AF14" i="3"/>
  <c r="AF18" i="3"/>
  <c r="AF7" i="3"/>
  <c r="AF26" i="3"/>
  <c r="AF22" i="3"/>
  <c r="AF15" i="3"/>
  <c r="AF10" i="3"/>
  <c r="AF19" i="3"/>
  <c r="W1" i="1"/>
  <c r="AF4" i="3"/>
  <c r="AF8" i="3"/>
  <c r="S1" i="3"/>
  <c r="Y1" i="1"/>
  <c r="Z187" i="1" l="1"/>
  <c r="Z159" i="1"/>
  <c r="Z138" i="1"/>
  <c r="Z128" i="1"/>
  <c r="Z118" i="1"/>
  <c r="Z186" i="1"/>
  <c r="Z176" i="1"/>
  <c r="Z166" i="1"/>
  <c r="Z145" i="1"/>
  <c r="Z117" i="1"/>
  <c r="Z193" i="1"/>
  <c r="Z165" i="1"/>
  <c r="Z144" i="1"/>
  <c r="Z134" i="1"/>
  <c r="Z124" i="1"/>
  <c r="Z188" i="1"/>
  <c r="Z178" i="1"/>
  <c r="Z177" i="1"/>
  <c r="Z167" i="1"/>
  <c r="Z157" i="1"/>
  <c r="Z146" i="1"/>
  <c r="Z136" i="1"/>
  <c r="Z184" i="1"/>
  <c r="Z156" i="1"/>
  <c r="Z135" i="1"/>
  <c r="Z125" i="1"/>
  <c r="Z115" i="1"/>
  <c r="Z183" i="1"/>
  <c r="Z173" i="1"/>
  <c r="Z163" i="1"/>
  <c r="Z152" i="1"/>
  <c r="Z142" i="1"/>
  <c r="Z114" i="1"/>
  <c r="Z190" i="1"/>
  <c r="Z189" i="1"/>
  <c r="Z179" i="1"/>
  <c r="Z169" i="1"/>
  <c r="Z148" i="1"/>
  <c r="Z120" i="1"/>
  <c r="Z174" i="1"/>
  <c r="Z164" i="1"/>
  <c r="Z153" i="1"/>
  <c r="Z143" i="1"/>
  <c r="Z171" i="1"/>
  <c r="Z121" i="1"/>
  <c r="Z104" i="1"/>
  <c r="Z94" i="1"/>
  <c r="Z83" i="1"/>
  <c r="Z73" i="1"/>
  <c r="Z51" i="1"/>
  <c r="Z41" i="1"/>
  <c r="Z30" i="1"/>
  <c r="Z20" i="1"/>
  <c r="Z10" i="1"/>
  <c r="Z162" i="1"/>
  <c r="Z28" i="1"/>
  <c r="Z56" i="1"/>
  <c r="Z185" i="1"/>
  <c r="Z182" i="1"/>
  <c r="Z93" i="1"/>
  <c r="Z72" i="1"/>
  <c r="Z58" i="1"/>
  <c r="Z9" i="1"/>
  <c r="Z141" i="1"/>
  <c r="Z110" i="1"/>
  <c r="Z100" i="1"/>
  <c r="Z79" i="1"/>
  <c r="Z57" i="1"/>
  <c r="Z47" i="1"/>
  <c r="Z37" i="1"/>
  <c r="Z26" i="1"/>
  <c r="Z16" i="1"/>
  <c r="Z168" i="1"/>
  <c r="Z99" i="1"/>
  <c r="Z78" i="1"/>
  <c r="Z68" i="1"/>
  <c r="Z36" i="1"/>
  <c r="Z15" i="1"/>
  <c r="Z5" i="1"/>
  <c r="Z63" i="1"/>
  <c r="Z49" i="1"/>
  <c r="Z149" i="1"/>
  <c r="Z139" i="1"/>
  <c r="Z106" i="1"/>
  <c r="Z85" i="1"/>
  <c r="Z53" i="1"/>
  <c r="Z43" i="1"/>
  <c r="Z22" i="1"/>
  <c r="Z11" i="1"/>
  <c r="Z133" i="1"/>
  <c r="Z122" i="1"/>
  <c r="Z105" i="1"/>
  <c r="Z95" i="1"/>
  <c r="Z84" i="1"/>
  <c r="Z74" i="1"/>
  <c r="Z64" i="1"/>
  <c r="Z42" i="1"/>
  <c r="Z21" i="1"/>
  <c r="Z132" i="1"/>
  <c r="Z192" i="1"/>
  <c r="Z130" i="1"/>
  <c r="Z112" i="1"/>
  <c r="Z101" i="1"/>
  <c r="Z91" i="1"/>
  <c r="Z80" i="1"/>
  <c r="Z70" i="1"/>
  <c r="Z48" i="1"/>
  <c r="Z38" i="1"/>
  <c r="Z27" i="1"/>
  <c r="Z17" i="1"/>
  <c r="Z7" i="1"/>
  <c r="Z113" i="1"/>
  <c r="Z102" i="1"/>
  <c r="Z92" i="1"/>
  <c r="Z71" i="1"/>
  <c r="Z18" i="1"/>
  <c r="Z8" i="1"/>
  <c r="Z180" i="1"/>
  <c r="Z161" i="1"/>
  <c r="Z88" i="1"/>
  <c r="Z170" i="1"/>
  <c r="Z160" i="1"/>
  <c r="Z129" i="1"/>
  <c r="Z119" i="1"/>
  <c r="Z111" i="1"/>
  <c r="Z90" i="1"/>
  <c r="Z69" i="1"/>
  <c r="Z55" i="1"/>
  <c r="Z6" i="1"/>
  <c r="Z150" i="1"/>
  <c r="Z140" i="1"/>
  <c r="Z116" i="1"/>
  <c r="Z107" i="1"/>
  <c r="Z97" i="1"/>
  <c r="Z86" i="1"/>
  <c r="Z76" i="1"/>
  <c r="Z54" i="1"/>
  <c r="Z44" i="1"/>
  <c r="Z34" i="1"/>
  <c r="Z23" i="1"/>
  <c r="Z13" i="1"/>
  <c r="Z81" i="1"/>
  <c r="Z60" i="1"/>
  <c r="Z154" i="1"/>
  <c r="Z137" i="1"/>
  <c r="Z127" i="1"/>
  <c r="Z96" i="1"/>
  <c r="Z75" i="1"/>
  <c r="Z65" i="1"/>
  <c r="Z33" i="1"/>
  <c r="Z12" i="1"/>
  <c r="Z39" i="1"/>
  <c r="Z109" i="1"/>
  <c r="Z46" i="1"/>
  <c r="Z151" i="1"/>
  <c r="Z126" i="1"/>
  <c r="Z103" i="1"/>
  <c r="Z82" i="1"/>
  <c r="Z61" i="1"/>
  <c r="Z50" i="1"/>
  <c r="Z40" i="1"/>
  <c r="Z29" i="1"/>
  <c r="Z19" i="1"/>
  <c r="Z181" i="1"/>
  <c r="Z131" i="1"/>
  <c r="Z123" i="1"/>
  <c r="Z25" i="1"/>
  <c r="Z175" i="1"/>
  <c r="Z158" i="1"/>
  <c r="Z108" i="1"/>
  <c r="Z98" i="1"/>
  <c r="Z87" i="1"/>
  <c r="Z77" i="1"/>
  <c r="Z67" i="1"/>
  <c r="Z45" i="1"/>
  <c r="Z35" i="1"/>
  <c r="Z24" i="1"/>
  <c r="Z14" i="1"/>
  <c r="Z4" i="1"/>
  <c r="Z191" i="1"/>
  <c r="Z172" i="1"/>
  <c r="Z147" i="1"/>
  <c r="Z66" i="1"/>
  <c r="Z52" i="1"/>
  <c r="Z31" i="1"/>
  <c r="S84" i="3"/>
  <c r="S81" i="3"/>
  <c r="S73" i="3"/>
  <c r="S71" i="3"/>
  <c r="S62" i="3"/>
  <c r="S60" i="3"/>
  <c r="S55" i="3"/>
  <c r="S53" i="3"/>
  <c r="S34" i="3"/>
  <c r="S24" i="3"/>
  <c r="S18" i="3"/>
  <c r="S13" i="3"/>
  <c r="S189" i="3"/>
  <c r="S182" i="3"/>
  <c r="S154" i="3"/>
  <c r="S152" i="3"/>
  <c r="S135" i="3"/>
  <c r="S133" i="3"/>
  <c r="S126" i="3"/>
  <c r="S118" i="3"/>
  <c r="S116" i="3"/>
  <c r="S105" i="3"/>
  <c r="S98" i="3"/>
  <c r="S93" i="3"/>
  <c r="S91" i="3"/>
  <c r="S88" i="3"/>
  <c r="S86" i="3"/>
  <c r="S80" i="3"/>
  <c r="S59" i="3"/>
  <c r="S36" i="3"/>
  <c r="S33" i="3"/>
  <c r="S28" i="3"/>
  <c r="S21" i="3"/>
  <c r="S10" i="3"/>
  <c r="S6" i="3"/>
  <c r="S188" i="3"/>
  <c r="S181" i="3"/>
  <c r="S179" i="3"/>
  <c r="S177" i="3"/>
  <c r="S175" i="3"/>
  <c r="S143" i="3"/>
  <c r="S141" i="3"/>
  <c r="S139" i="3"/>
  <c r="S132" i="3"/>
  <c r="S125" i="3"/>
  <c r="S122" i="3"/>
  <c r="S104" i="3"/>
  <c r="S97" i="3"/>
  <c r="S79" i="3"/>
  <c r="S42" i="3"/>
  <c r="S187" i="3"/>
  <c r="S185" i="3"/>
  <c r="S174" i="3"/>
  <c r="S138" i="3"/>
  <c r="S131" i="3"/>
  <c r="S124" i="3"/>
  <c r="S103" i="3"/>
  <c r="S101" i="3"/>
  <c r="S96" i="3"/>
  <c r="S83" i="3"/>
  <c r="S78" i="3"/>
  <c r="S66" i="3"/>
  <c r="S64" i="3"/>
  <c r="S48" i="3"/>
  <c r="S46" i="3"/>
  <c r="S39" i="3"/>
  <c r="S31" i="3"/>
  <c r="S29" i="3"/>
  <c r="S22" i="3"/>
  <c r="S17" i="3"/>
  <c r="S12" i="3"/>
  <c r="S7" i="3"/>
  <c r="S173" i="3"/>
  <c r="S168" i="3"/>
  <c r="S166" i="3"/>
  <c r="S164" i="3"/>
  <c r="S162" i="3"/>
  <c r="S160" i="3"/>
  <c r="S158" i="3"/>
  <c r="S156" i="3"/>
  <c r="S149" i="3"/>
  <c r="S147" i="3"/>
  <c r="S145" i="3"/>
  <c r="S137" i="3"/>
  <c r="S130" i="3"/>
  <c r="S128" i="3"/>
  <c r="S111" i="3"/>
  <c r="S109" i="3"/>
  <c r="S107" i="3"/>
  <c r="S95" i="3"/>
  <c r="S77" i="3"/>
  <c r="S72" i="3"/>
  <c r="S70" i="3"/>
  <c r="S61" i="3"/>
  <c r="S54" i="3"/>
  <c r="S52" i="3"/>
  <c r="S45" i="3"/>
  <c r="S38" i="3"/>
  <c r="S26" i="3"/>
  <c r="S15" i="3"/>
  <c r="S193" i="3"/>
  <c r="S172" i="3"/>
  <c r="S155" i="3"/>
  <c r="S153" i="3"/>
  <c r="S151" i="3"/>
  <c r="S136" i="3"/>
  <c r="S134" i="3"/>
  <c r="S117" i="3"/>
  <c r="S115" i="3"/>
  <c r="S94" i="3"/>
  <c r="S92" i="3"/>
  <c r="S90" i="3"/>
  <c r="S87" i="3"/>
  <c r="S85" i="3"/>
  <c r="S76" i="3"/>
  <c r="S69" i="3"/>
  <c r="S58" i="3"/>
  <c r="S51" i="3"/>
  <c r="S44" i="3"/>
  <c r="S37" i="3"/>
  <c r="S35" i="3"/>
  <c r="S19" i="3"/>
  <c r="S8" i="3"/>
  <c r="S4" i="3"/>
  <c r="S192" i="3"/>
  <c r="S180" i="3"/>
  <c r="S178" i="3"/>
  <c r="S176" i="3"/>
  <c r="S171" i="3"/>
  <c r="S142" i="3"/>
  <c r="S140" i="3"/>
  <c r="S123" i="3"/>
  <c r="S121" i="3"/>
  <c r="S114" i="3"/>
  <c r="S75" i="3"/>
  <c r="S68" i="3"/>
  <c r="S57" i="3"/>
  <c r="S50" i="3"/>
  <c r="S43" i="3"/>
  <c r="S41" i="3"/>
  <c r="S27" i="3"/>
  <c r="S23" i="3"/>
  <c r="S16" i="3"/>
  <c r="S11" i="3"/>
  <c r="S191" i="3"/>
  <c r="S186" i="3"/>
  <c r="S184" i="3"/>
  <c r="S170" i="3"/>
  <c r="S144" i="3"/>
  <c r="S120" i="3"/>
  <c r="S113" i="3"/>
  <c r="S102" i="3"/>
  <c r="S100" i="3"/>
  <c r="S82" i="3"/>
  <c r="S74" i="3"/>
  <c r="S67" i="3"/>
  <c r="S65" i="3"/>
  <c r="S63" i="3"/>
  <c r="S56" i="3"/>
  <c r="S49" i="3"/>
  <c r="S47" i="3"/>
  <c r="S30" i="3"/>
  <c r="S20" i="3"/>
  <c r="S9" i="3"/>
  <c r="S5" i="3"/>
  <c r="S190" i="3"/>
  <c r="S183" i="3"/>
  <c r="S169" i="3"/>
  <c r="S167" i="3"/>
  <c r="S165" i="3"/>
  <c r="S163" i="3"/>
  <c r="S161" i="3"/>
  <c r="S159" i="3"/>
  <c r="S157" i="3"/>
  <c r="S150" i="3"/>
  <c r="S148" i="3"/>
  <c r="S146" i="3"/>
  <c r="S129" i="3"/>
  <c r="S127" i="3"/>
  <c r="S119" i="3"/>
  <c r="S112" i="3"/>
  <c r="S25" i="3"/>
  <c r="S106" i="3"/>
  <c r="S40" i="3"/>
  <c r="S99" i="3"/>
  <c r="S14" i="3"/>
  <c r="S110" i="3"/>
  <c r="S32" i="3"/>
  <c r="S108" i="3"/>
</calcChain>
</file>

<file path=xl/sharedStrings.xml><?xml version="1.0" encoding="utf-8"?>
<sst xmlns="http://schemas.openxmlformats.org/spreadsheetml/2006/main" count="804" uniqueCount="242">
  <si>
    <t>Date-time</t>
  </si>
  <si>
    <t>Geographical loc.</t>
  </si>
  <si>
    <t>Atmospheric conditions</t>
  </si>
  <si>
    <t>Seawater conditions</t>
  </si>
  <si>
    <t>Chula's lab (Dr.Chawalit)</t>
  </si>
  <si>
    <t>Year</t>
  </si>
  <si>
    <t>Month</t>
  </si>
  <si>
    <t>Date</t>
  </si>
  <si>
    <t>Local time (GMT+7)</t>
  </si>
  <si>
    <t>Stations</t>
  </si>
  <si>
    <t>Lat</t>
  </si>
  <si>
    <t>Long</t>
  </si>
  <si>
    <t>Total depth (m)</t>
  </si>
  <si>
    <t>No. sampling levels</t>
  </si>
  <si>
    <t>Sampling level</t>
  </si>
  <si>
    <t>Sampling depth (m)</t>
  </si>
  <si>
    <t>Wind speed
(m/s)</t>
  </si>
  <si>
    <t>Wind direction (toward-azimuth)
angle</t>
  </si>
  <si>
    <t>Transparency (m)</t>
  </si>
  <si>
    <t>Water temp (๐C)</t>
  </si>
  <si>
    <t>pH</t>
  </si>
  <si>
    <t>Salinity</t>
  </si>
  <si>
    <t>DO (mg/l)</t>
  </si>
  <si>
    <t>TSS
(mg/L)</t>
  </si>
  <si>
    <r>
      <rPr>
        <b/>
        <sz val="11"/>
        <color theme="1"/>
        <rFont val="Calibri"/>
        <family val="2"/>
      </rPr>
      <t>Chl-</t>
    </r>
    <r>
      <rPr>
        <b/>
        <i/>
        <sz val="11"/>
        <color theme="1"/>
        <rFont val="Calibri"/>
        <family val="2"/>
      </rPr>
      <t xml:space="preserve">a </t>
    </r>
    <r>
      <rPr>
        <b/>
        <sz val="11"/>
        <color theme="1"/>
        <rFont val="Calibri"/>
        <family val="2"/>
      </rPr>
      <t>(ug/L)</t>
    </r>
  </si>
  <si>
    <t>Plankton</t>
  </si>
  <si>
    <t>Dissolved Inorganic in water</t>
  </si>
  <si>
    <t>Total</t>
  </si>
  <si>
    <t>Remark</t>
  </si>
  <si>
    <t>meter</t>
  </si>
  <si>
    <t>CTD</t>
  </si>
  <si>
    <t>AAQ CTD</t>
  </si>
  <si>
    <t xml:space="preserve"> AAQ CTD</t>
  </si>
  <si>
    <t>Titrate</t>
  </si>
  <si>
    <t>ASTD CTD</t>
  </si>
  <si>
    <t>CTD-Corrected</t>
  </si>
  <si>
    <t>Spectro</t>
  </si>
  <si>
    <t>Phyto</t>
  </si>
  <si>
    <t>Zoo</t>
  </si>
  <si>
    <t>Phosphate (uM)</t>
  </si>
  <si>
    <t>Silicate (uM)</t>
  </si>
  <si>
    <t>Nitrite (uM)</t>
  </si>
  <si>
    <t>Ammonia (uM)</t>
  </si>
  <si>
    <t>Nitrate (uM)</t>
  </si>
  <si>
    <t>DOC</t>
  </si>
  <si>
    <t>TDN
(uM)</t>
  </si>
  <si>
    <t>TDP
(uM)</t>
  </si>
  <si>
    <t>S</t>
  </si>
  <si>
    <t>NE</t>
  </si>
  <si>
    <t>√</t>
  </si>
  <si>
    <t>แดดแรง ลมปานกลาง น้ำสีเขียวใส (ปกติดี)</t>
  </si>
  <si>
    <t>M</t>
  </si>
  <si>
    <t>B</t>
  </si>
  <si>
    <t>แดดแรง ลมแรง น้ำสีเขียวใส (ปกติ)</t>
  </si>
  <si>
    <t>แดดอ่อน ลมแรง สีน้ำน้ำตาลแดง</t>
  </si>
  <si>
    <t>ไม่มีแดด ลมปานกลาง น้ำสีน้ำตาลแดง ห่างจากจุด 1 กิโลเมตร</t>
  </si>
  <si>
    <t>แดดอ่อน ลมสงบ ไม่มีลม น้ำสีน้ำตาลตะกอนขุ่น</t>
  </si>
  <si>
    <t>C44</t>
  </si>
  <si>
    <t>แดดปานกลาง ลมแรง น้ำสีน้ำตาลตะกอนขุ่น</t>
  </si>
  <si>
    <t>แดดแรง ลมแรง น้ำสีน้ำตาลมีตะกอน</t>
  </si>
  <si>
    <t>C42</t>
  </si>
  <si>
    <t>แดดแรง ลมแรง สีน้ำเขียวใส (ปกติ)</t>
  </si>
  <si>
    <t>St.เก็บดินซ่อมอย่างเดียว แดดอ่อน ลมแรง น้ำสีเขียวใส (ปกติ)</t>
  </si>
  <si>
    <t>แดดแรง ลมแรง น้ำสีน้ำตาลมีตะกอนขุ่น</t>
  </si>
  <si>
    <t xml:space="preserve">แดดแรง ลมแรงมาก น้ำสีน้ำตาลตะกอนขุ่น </t>
  </si>
  <si>
    <t>ไม่มีแดด ลมสงบ สีน้ำขุ่น มีตะกอน</t>
  </si>
  <si>
    <t>แดดแรง ลมแรงมาก สีน้ำมีตะกอนขุ่น</t>
  </si>
  <si>
    <t>แดดแรง ลมแรงมาก น้ำสีเขียวใสปกติ</t>
  </si>
  <si>
    <t>C28</t>
  </si>
  <si>
    <t>C25</t>
  </si>
  <si>
    <t>แดดปานกลาง ลมแรง น้ำสีน้ำตาล มีตะกอนขุ่น</t>
  </si>
  <si>
    <t>N</t>
  </si>
  <si>
    <t>แดดอ่อน ลมแรง น้ำสีน้ำตาลแดง</t>
  </si>
  <si>
    <t>แดดปานกลาง ลมปานกลาง น้ำสีน้ำตาลแดง</t>
  </si>
  <si>
    <t>แดดแรง ลมปานกลาง น้ำสีเขียวใส (ปกติ)</t>
  </si>
  <si>
    <t>แดดแรง ลมแรง น้ำสีเขียวใส (ปกติ) คลื่นแรง</t>
  </si>
  <si>
    <t xml:space="preserve">แดดแรง ลมแรง น้ำสีเขียวใส (ปกติ) </t>
  </si>
  <si>
    <t>C12</t>
  </si>
  <si>
    <t xml:space="preserve">แดดปานกลาง ลมแรง น้ำสีตะกอนขุ่น </t>
  </si>
  <si>
    <t>แดดปานกลาง ลมแรง สีน้ำมีตะกอนขุ่น</t>
  </si>
  <si>
    <t>แดดปานกลาง ลมแรง น้ำสีตะกอนขุ่น</t>
  </si>
  <si>
    <t>แดดแรง ลมแรง น้ำสีตะกอนขุ่น</t>
  </si>
  <si>
    <t>C2</t>
  </si>
  <si>
    <t>แดดแรง ลมแรง สีน้ำตะกอนขุ่น</t>
  </si>
  <si>
    <t>แดดแรง ลมปานกลาง น้ำสีตะกอนขุ่น</t>
  </si>
  <si>
    <t>แดดปานกลาง ไม่มีลม น้ำสีเขียวใส (ปกติ)</t>
  </si>
  <si>
    <t>C5</t>
  </si>
  <si>
    <t>C6</t>
  </si>
  <si>
    <t>แดดอ่อน ไม่มีลม น้ำสีเขียวใส (ปกติ)</t>
  </si>
  <si>
    <t>C7</t>
  </si>
  <si>
    <t>ไม่มีแดด ไม่มีลม น้ำสีเขียวใส (ปกติ)</t>
  </si>
  <si>
    <t>แดดอ่อน ลมปานกลาง น้ำสีตะกอนขุ่น</t>
  </si>
  <si>
    <t>แดดปานกลาง ลมปานกลาง น้ำสีตะกอนขุ่น ***เข้าไม่ถึงจุด จึงต้อง Mark พิกัดใหม่***</t>
  </si>
  <si>
    <t>แดดแรง ลมปานกลาง น้ำสีเขียวใส (ปกติ) ***เข้าไม่ถึงจุด จึงต้อง Mark พิกัดใหม่***</t>
  </si>
  <si>
    <t>แดดแรง ไม่มีลม น้ำสีเขียวใส (ปกติ)</t>
  </si>
  <si>
    <t>C16</t>
  </si>
  <si>
    <t>แดดอ่อน ลมปานกลาง น้ำสีเขียวใส (ปกติ)</t>
  </si>
  <si>
    <t>C33</t>
  </si>
  <si>
    <t>แดดปานกลาง ลมแรง น้ำสีเขียวใส (ปกติ)</t>
  </si>
  <si>
    <t>แดดแรง ลมแรง น้ำสีเขียวใส (ปกติ) ***เป็นจุดซ่อม เพื่อเก็บ Sediment core และ ตะกอนดิน***</t>
  </si>
  <si>
    <t>x</t>
  </si>
  <si>
    <t>y</t>
  </si>
  <si>
    <t>N13.13549</t>
  </si>
  <si>
    <t>E100.79522</t>
  </si>
  <si>
    <t>N.13.23394</t>
  </si>
  <si>
    <t>E.100.79963</t>
  </si>
  <si>
    <t>N.13.28313</t>
  </si>
  <si>
    <t>E.100.80033</t>
  </si>
  <si>
    <t>N.13.33119</t>
  </si>
  <si>
    <t>E.100.80005</t>
  </si>
  <si>
    <t>N.13.36339</t>
  </si>
  <si>
    <t>E.100.80032</t>
  </si>
  <si>
    <t>N.13.36421</t>
  </si>
  <si>
    <t>E.100.86465</t>
  </si>
  <si>
    <t>N.13.35821</t>
  </si>
  <si>
    <t>E.100.86703</t>
  </si>
  <si>
    <t>N.13.44067</t>
  </si>
  <si>
    <t>E.100.92756</t>
  </si>
  <si>
    <t>N.13.46914</t>
  </si>
  <si>
    <t>E.100.97126</t>
  </si>
  <si>
    <t>N.13.43261</t>
  </si>
  <si>
    <t>E.100.86459</t>
  </si>
  <si>
    <t>N.13.41452</t>
  </si>
  <si>
    <t>E.100.79777</t>
  </si>
  <si>
    <t>N.13.42043</t>
  </si>
  <si>
    <t>N.13.42001</t>
  </si>
  <si>
    <t>E.100.66620</t>
  </si>
  <si>
    <t>N.13.38061</t>
  </si>
  <si>
    <t>E.100.66611</t>
  </si>
  <si>
    <t>N.13.33096</t>
  </si>
  <si>
    <t>E.100.66553</t>
  </si>
  <si>
    <t>N.13.28282</t>
  </si>
  <si>
    <t>E.100.66600</t>
  </si>
  <si>
    <t>N.13.23351</t>
  </si>
  <si>
    <t>E.100.66726</t>
  </si>
  <si>
    <t>N.13.23236</t>
  </si>
  <si>
    <t>E.100.80066</t>
  </si>
  <si>
    <t>N.13.54106</t>
  </si>
  <si>
    <t>E.100.59703</t>
  </si>
  <si>
    <t>N.13.48795</t>
  </si>
  <si>
    <t>E.100.62010</t>
  </si>
  <si>
    <t>N.13.42982</t>
  </si>
  <si>
    <t>E.100.58380</t>
  </si>
  <si>
    <t>N.13.39955</t>
  </si>
  <si>
    <t>E.100.55817</t>
  </si>
  <si>
    <t>N.13.36463</t>
  </si>
  <si>
    <t>E.100.53230</t>
  </si>
  <si>
    <t>N.13.41444</t>
  </si>
  <si>
    <t>E.100.49052</t>
  </si>
  <si>
    <t>N.13.41353</t>
  </si>
  <si>
    <t>E.100.43938</t>
  </si>
  <si>
    <t>N.13.38712</t>
  </si>
  <si>
    <t>E.100.35968</t>
  </si>
  <si>
    <t>N.13.40807</t>
  </si>
  <si>
    <t>E.100.31579</t>
  </si>
  <si>
    <t>N.13.49422</t>
  </si>
  <si>
    <t>E.100.282269</t>
  </si>
  <si>
    <t>N.13.45762</t>
  </si>
  <si>
    <t>E.100.29765</t>
  </si>
  <si>
    <t>N.13.35892</t>
  </si>
  <si>
    <t>E.100.39851</t>
  </si>
  <si>
    <t>N.13.29610</t>
  </si>
  <si>
    <t>E.100.39858</t>
  </si>
  <si>
    <t>N.13.33148</t>
  </si>
  <si>
    <t>E.100.53201</t>
  </si>
  <si>
    <t>N.13.27968</t>
  </si>
  <si>
    <t>E.100.53270</t>
  </si>
  <si>
    <t>N.13.32215</t>
  </si>
  <si>
    <t>E.100.34038</t>
  </si>
  <si>
    <t>N.13.36906</t>
  </si>
  <si>
    <t>E.100.29259</t>
  </si>
  <si>
    <t>N.13.32506</t>
  </si>
  <si>
    <t>E.100.26962</t>
  </si>
  <si>
    <t>N.13.28288</t>
  </si>
  <si>
    <t>E.100.26653</t>
  </si>
  <si>
    <t>N.13.23193</t>
  </si>
  <si>
    <t>E.100.26719</t>
  </si>
  <si>
    <t>N.13.19195</t>
  </si>
  <si>
    <t>E.100.26744</t>
  </si>
  <si>
    <t>N.13.13279</t>
  </si>
  <si>
    <t>E.100.26665</t>
  </si>
  <si>
    <t>N.13.13357</t>
  </si>
  <si>
    <t>E.100.20081</t>
  </si>
  <si>
    <t>N.13.13249</t>
  </si>
  <si>
    <t>E.100.13310</t>
  </si>
  <si>
    <t>N.13.16504</t>
  </si>
  <si>
    <t>E.100.13355</t>
  </si>
  <si>
    <t>N.13.20832</t>
  </si>
  <si>
    <t>E.100.13221</t>
  </si>
  <si>
    <t>N.13.24597</t>
  </si>
  <si>
    <t>E.100.13456</t>
  </si>
  <si>
    <t>N.13.28974</t>
  </si>
  <si>
    <t>E.100.13260</t>
  </si>
  <si>
    <t>N.13.29005</t>
  </si>
  <si>
    <t>E.100.19901</t>
  </si>
  <si>
    <t>N.13.32832</t>
  </si>
  <si>
    <t>E.100.17045</t>
  </si>
  <si>
    <t>N.13.35679</t>
  </si>
  <si>
    <t>E.100.14187</t>
  </si>
  <si>
    <t>N.13.36433</t>
  </si>
  <si>
    <t>E.100.00097</t>
  </si>
  <si>
    <t>N.13.27891</t>
  </si>
  <si>
    <t>E.100.01505</t>
  </si>
  <si>
    <t>N.13.26442</t>
  </si>
  <si>
    <t>E.100.06827</t>
  </si>
  <si>
    <t>N.13.30185</t>
  </si>
  <si>
    <t>E.100.08669</t>
  </si>
  <si>
    <t>N.13.31261</t>
  </si>
  <si>
    <t>E.100.07453</t>
  </si>
  <si>
    <t>N.13.24503</t>
  </si>
  <si>
    <t>E.100.39898</t>
  </si>
  <si>
    <t>N.13.18117</t>
  </si>
  <si>
    <t>E.100.39963</t>
  </si>
  <si>
    <t>N.13.13257</t>
  </si>
  <si>
    <t>E.100.33397</t>
  </si>
  <si>
    <t>N.13.13240</t>
  </si>
  <si>
    <t>E.100.39832</t>
  </si>
  <si>
    <t>N.13.13189</t>
  </si>
  <si>
    <t>E.100.66796</t>
  </si>
  <si>
    <t>N.13.13166</t>
  </si>
  <si>
    <t>E.100.60078</t>
  </si>
  <si>
    <t>N.13.13150</t>
  </si>
  <si>
    <t>E.100.53534</t>
  </si>
  <si>
    <t>N.13.22833</t>
  </si>
  <si>
    <t>E.100.53329</t>
  </si>
  <si>
    <t>N.13.27752</t>
  </si>
  <si>
    <t>E.100.53395</t>
  </si>
  <si>
    <t>N.13.26630</t>
  </si>
  <si>
    <t>E.099.94135</t>
  </si>
  <si>
    <t>Lab measurement</t>
  </si>
  <si>
    <t>Calculated (from pH@25C &amp; TA) using CO2Sys software</t>
  </si>
  <si>
    <r>
      <rPr>
        <b/>
        <sz val="11"/>
        <color theme="1"/>
        <rFont val="Calibri"/>
        <family val="2"/>
      </rPr>
      <t>TA (</t>
    </r>
    <r>
      <rPr>
        <b/>
        <sz val="12"/>
        <color theme="1"/>
        <rFont val="Calibri"/>
        <family val="2"/>
      </rPr>
      <t>umol/kgSW)</t>
    </r>
  </si>
  <si>
    <t>pH@25C (Spectrophotometric method)</t>
  </si>
  <si>
    <t>pH 
(TOTscale)</t>
  </si>
  <si>
    <t>pCO2 out (uatm)</t>
  </si>
  <si>
    <t>HCO3 out (umol/kgSW)</t>
  </si>
  <si>
    <t>CO3 out (umol/kgSW)</t>
  </si>
  <si>
    <t>CO2 out (umol/kgSW)</t>
  </si>
  <si>
    <t>Ca
saturation</t>
  </si>
  <si>
    <t>Ar
saturation</t>
  </si>
  <si>
    <t>DIC est.
(umol/kgSW)</t>
  </si>
  <si>
    <t>DMCR's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</si>
</sst>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00"/>
    <numFmt numFmtId="167" formatCode="0.000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  <fill>
      <patternFill patternType="solid">
        <fgColor rgb="FF8EAADB"/>
        <bgColor rgb="FF8EAADB"/>
      </patternFill>
    </fill>
    <fill>
      <patternFill patternType="solid">
        <fgColor rgb="FFFF99FF"/>
        <bgColor rgb="FFFF99FF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8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3" fillId="2" borderId="4" xfId="0" applyFont="1" applyFill="1" applyBorder="1"/>
    <xf numFmtId="165" fontId="4" fillId="2" borderId="6" xfId="0" applyNumberFormat="1" applyFont="1" applyFill="1" applyBorder="1"/>
    <xf numFmtId="0" fontId="4" fillId="2" borderId="6" xfId="0" applyFont="1" applyFill="1" applyBorder="1"/>
    <xf numFmtId="165" fontId="1" fillId="4" borderId="8" xfId="0" applyNumberFormat="1" applyFont="1" applyFill="1" applyBorder="1" applyAlignment="1">
      <alignment horizontal="center"/>
    </xf>
    <xf numFmtId="2" fontId="4" fillId="4" borderId="8" xfId="0" applyNumberFormat="1" applyFont="1" applyFill="1" applyBorder="1"/>
    <xf numFmtId="164" fontId="4" fillId="4" borderId="6" xfId="0" applyNumberFormat="1" applyFont="1" applyFill="1" applyBorder="1" applyAlignment="1">
      <alignment horizontal="center"/>
    </xf>
    <xf numFmtId="164" fontId="4" fillId="4" borderId="9" xfId="0" applyNumberFormat="1" applyFont="1" applyFill="1" applyBorder="1"/>
    <xf numFmtId="2" fontId="4" fillId="4" borderId="4" xfId="0" applyNumberFormat="1" applyFont="1" applyFill="1" applyBorder="1"/>
    <xf numFmtId="2" fontId="4" fillId="4" borderId="12" xfId="0" applyNumberFormat="1" applyFont="1" applyFill="1" applyBorder="1" applyAlignment="1">
      <alignment horizontal="center"/>
    </xf>
    <xf numFmtId="2" fontId="4" fillId="4" borderId="13" xfId="0" applyNumberFormat="1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4" fillId="7" borderId="4" xfId="0" applyFont="1" applyFill="1" applyBorder="1"/>
    <xf numFmtId="2" fontId="1" fillId="4" borderId="40" xfId="0" applyNumberFormat="1" applyFont="1" applyFill="1" applyBorder="1" applyAlignment="1">
      <alignment horizontal="center" vertical="center" wrapText="1"/>
    </xf>
    <xf numFmtId="2" fontId="1" fillId="4" borderId="41" xfId="0" applyNumberFormat="1" applyFont="1" applyFill="1" applyBorder="1" applyAlignment="1">
      <alignment horizontal="center" vertical="center" wrapText="1"/>
    </xf>
    <xf numFmtId="2" fontId="1" fillId="4" borderId="42" xfId="0" applyNumberFormat="1" applyFont="1" applyFill="1" applyBorder="1" applyAlignment="1">
      <alignment horizontal="center" vertical="center" wrapText="1"/>
    </xf>
    <xf numFmtId="2" fontId="1" fillId="4" borderId="40" xfId="0" applyNumberFormat="1" applyFont="1" applyFill="1" applyBorder="1" applyAlignment="1">
      <alignment horizontal="center" vertical="center"/>
    </xf>
    <xf numFmtId="2" fontId="1" fillId="4" borderId="43" xfId="0" applyNumberFormat="1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vertical="center" wrapText="1"/>
    </xf>
    <xf numFmtId="0" fontId="1" fillId="5" borderId="45" xfId="0" applyFont="1" applyFill="1" applyBorder="1" applyAlignment="1">
      <alignment vertical="center" wrapText="1"/>
    </xf>
    <xf numFmtId="0" fontId="1" fillId="5" borderId="46" xfId="0" applyFont="1" applyFill="1" applyBorder="1" applyAlignment="1">
      <alignment vertical="center" wrapText="1"/>
    </xf>
    <xf numFmtId="0" fontId="1" fillId="5" borderId="29" xfId="0" applyFont="1" applyFill="1" applyBorder="1" applyAlignment="1">
      <alignment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 wrapText="1"/>
    </xf>
    <xf numFmtId="0" fontId="4" fillId="0" borderId="50" xfId="0" applyFont="1" applyBorder="1"/>
    <xf numFmtId="0" fontId="4" fillId="0" borderId="0" xfId="0" applyFont="1"/>
    <xf numFmtId="20" fontId="4" fillId="0" borderId="51" xfId="0" applyNumberFormat="1" applyFont="1" applyBorder="1" applyAlignment="1">
      <alignment horizontal="right"/>
    </xf>
    <xf numFmtId="0" fontId="3" fillId="0" borderId="52" xfId="0" applyFont="1" applyBorder="1" applyAlignment="1">
      <alignment horizontal="center"/>
    </xf>
    <xf numFmtId="166" fontId="4" fillId="0" borderId="50" xfId="0" applyNumberFormat="1" applyFont="1" applyBorder="1" applyAlignment="1">
      <alignment horizontal="right"/>
    </xf>
    <xf numFmtId="166" fontId="4" fillId="0" borderId="53" xfId="0" applyNumberFormat="1" applyFont="1" applyBorder="1" applyAlignment="1">
      <alignment horizontal="right"/>
    </xf>
    <xf numFmtId="165" fontId="4" fillId="0" borderId="0" xfId="0" applyNumberFormat="1" applyFont="1"/>
    <xf numFmtId="0" fontId="4" fillId="0" borderId="0" xfId="0" applyFont="1" applyAlignment="1">
      <alignment horizontal="right"/>
    </xf>
    <xf numFmtId="165" fontId="4" fillId="0" borderId="50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right"/>
    </xf>
    <xf numFmtId="165" fontId="4" fillId="0" borderId="54" xfId="0" applyNumberFormat="1" applyFont="1" applyBorder="1"/>
    <xf numFmtId="2" fontId="4" fillId="0" borderId="50" xfId="0" applyNumberFormat="1" applyFont="1" applyBorder="1"/>
    <xf numFmtId="2" fontId="4" fillId="0" borderId="0" xfId="0" applyNumberFormat="1" applyFont="1"/>
    <xf numFmtId="2" fontId="4" fillId="0" borderId="55" xfId="0" applyNumberFormat="1" applyFont="1" applyBorder="1"/>
    <xf numFmtId="2" fontId="4" fillId="0" borderId="56" xfId="0" applyNumberFormat="1" applyFont="1" applyBorder="1"/>
    <xf numFmtId="2" fontId="4" fillId="0" borderId="52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0" borderId="53" xfId="0" applyFont="1" applyBorder="1"/>
    <xf numFmtId="0" fontId="6" fillId="0" borderId="0" xfId="0" applyFont="1" applyAlignment="1">
      <alignment horizontal="center"/>
    </xf>
    <xf numFmtId="167" fontId="4" fillId="0" borderId="57" xfId="0" applyNumberFormat="1" applyFont="1" applyBorder="1" applyAlignment="1">
      <alignment horizontal="right"/>
    </xf>
    <xf numFmtId="167" fontId="4" fillId="0" borderId="0" xfId="0" applyNumberFormat="1" applyFont="1" applyAlignment="1">
      <alignment horizontal="right"/>
    </xf>
    <xf numFmtId="167" fontId="4" fillId="0" borderId="53" xfId="0" applyNumberFormat="1" applyFont="1" applyBorder="1" applyAlignment="1">
      <alignment horizontal="right"/>
    </xf>
    <xf numFmtId="0" fontId="4" fillId="0" borderId="52" xfId="0" applyFont="1" applyBorder="1"/>
    <xf numFmtId="166" fontId="4" fillId="0" borderId="0" xfId="0" applyNumberFormat="1" applyFont="1" applyAlignment="1">
      <alignment horizontal="right"/>
    </xf>
    <xf numFmtId="165" fontId="4" fillId="0" borderId="57" xfId="0" applyNumberFormat="1" applyFont="1" applyBorder="1"/>
    <xf numFmtId="2" fontId="4" fillId="0" borderId="51" xfId="0" applyNumberFormat="1" applyFont="1" applyBorder="1"/>
    <xf numFmtId="2" fontId="4" fillId="0" borderId="53" xfId="0" applyNumberFormat="1" applyFont="1" applyBorder="1"/>
    <xf numFmtId="2" fontId="4" fillId="0" borderId="50" xfId="0" applyNumberFormat="1" applyFont="1" applyBorder="1" applyAlignment="1">
      <alignment horizontal="right"/>
    </xf>
    <xf numFmtId="0" fontId="7" fillId="0" borderId="0" xfId="0" applyFont="1"/>
    <xf numFmtId="0" fontId="3" fillId="0" borderId="54" xfId="0" applyFont="1" applyBorder="1" applyAlignment="1">
      <alignment horizontal="center"/>
    </xf>
    <xf numFmtId="2" fontId="4" fillId="0" borderId="51" xfId="0" applyNumberFormat="1" applyFont="1" applyBorder="1" applyAlignment="1">
      <alignment horizontal="right"/>
    </xf>
    <xf numFmtId="2" fontId="4" fillId="8" borderId="12" xfId="0" applyNumberFormat="1" applyFont="1" applyFill="1" applyBorder="1"/>
    <xf numFmtId="2" fontId="4" fillId="8" borderId="58" xfId="0" applyNumberFormat="1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165" fontId="4" fillId="0" borderId="51" xfId="0" applyNumberFormat="1" applyFont="1" applyBorder="1"/>
    <xf numFmtId="165" fontId="4" fillId="0" borderId="50" xfId="0" applyNumberFormat="1" applyFont="1" applyBorder="1"/>
    <xf numFmtId="2" fontId="4" fillId="0" borderId="52" xfId="0" applyNumberFormat="1" applyFont="1" applyBorder="1"/>
    <xf numFmtId="167" fontId="4" fillId="0" borderId="59" xfId="0" applyNumberFormat="1" applyFont="1" applyBorder="1" applyAlignment="1">
      <alignment horizontal="right"/>
    </xf>
    <xf numFmtId="167" fontId="4" fillId="0" borderId="60" xfId="0" applyNumberFormat="1" applyFont="1" applyBorder="1" applyAlignment="1">
      <alignment horizontal="right"/>
    </xf>
    <xf numFmtId="0" fontId="4" fillId="0" borderId="57" xfId="0" applyFont="1" applyBorder="1"/>
    <xf numFmtId="0" fontId="4" fillId="0" borderId="51" xfId="0" applyFont="1" applyBorder="1"/>
    <xf numFmtId="20" fontId="4" fillId="0" borderId="51" xfId="0" applyNumberFormat="1" applyFont="1" applyBorder="1"/>
    <xf numFmtId="166" fontId="4" fillId="0" borderId="50" xfId="0" applyNumberFormat="1" applyFont="1" applyBorder="1" applyAlignment="1">
      <alignment horizontal="right" vertical="center"/>
    </xf>
    <xf numFmtId="166" fontId="4" fillId="0" borderId="53" xfId="0" applyNumberFormat="1" applyFont="1" applyBorder="1" applyAlignment="1">
      <alignment horizontal="right" vertical="center"/>
    </xf>
    <xf numFmtId="0" fontId="3" fillId="0" borderId="52" xfId="0" applyFont="1" applyBorder="1" applyAlignment="1">
      <alignment horizontal="right"/>
    </xf>
    <xf numFmtId="166" fontId="4" fillId="0" borderId="50" xfId="0" applyNumberFormat="1" applyFont="1" applyBorder="1"/>
    <xf numFmtId="0" fontId="4" fillId="0" borderId="61" xfId="0" applyFont="1" applyBorder="1"/>
    <xf numFmtId="0" fontId="4" fillId="0" borderId="62" xfId="0" applyFont="1" applyBorder="1"/>
    <xf numFmtId="20" fontId="4" fillId="0" borderId="63" xfId="0" applyNumberFormat="1" applyFont="1" applyBorder="1"/>
    <xf numFmtId="0" fontId="3" fillId="0" borderId="49" xfId="0" applyFont="1" applyBorder="1" applyAlignment="1">
      <alignment horizontal="right"/>
    </xf>
    <xf numFmtId="166" fontId="4" fillId="0" borderId="61" xfId="0" applyNumberFormat="1" applyFont="1" applyBorder="1"/>
    <xf numFmtId="165" fontId="4" fillId="0" borderId="62" xfId="0" applyNumberFormat="1" applyFont="1" applyBorder="1"/>
    <xf numFmtId="0" fontId="4" fillId="0" borderId="62" xfId="0" applyFont="1" applyBorder="1" applyAlignment="1">
      <alignment horizontal="right"/>
    </xf>
    <xf numFmtId="2" fontId="4" fillId="0" borderId="61" xfId="0" applyNumberFormat="1" applyFont="1" applyBorder="1"/>
    <xf numFmtId="2" fontId="4" fillId="0" borderId="62" xfId="0" applyNumberFormat="1" applyFont="1" applyBorder="1"/>
    <xf numFmtId="2" fontId="4" fillId="0" borderId="63" xfId="0" applyNumberFormat="1" applyFont="1" applyBorder="1"/>
    <xf numFmtId="166" fontId="4" fillId="0" borderId="0" xfId="0" applyNumberFormat="1" applyFont="1"/>
    <xf numFmtId="165" fontId="4" fillId="2" borderId="64" xfId="0" applyNumberFormat="1" applyFont="1" applyFill="1" applyBorder="1"/>
    <xf numFmtId="2" fontId="4" fillId="4" borderId="65" xfId="0" applyNumberFormat="1" applyFont="1" applyFill="1" applyBorder="1"/>
    <xf numFmtId="2" fontId="4" fillId="4" borderId="6" xfId="0" applyNumberFormat="1" applyFont="1" applyFill="1" applyBorder="1" applyAlignment="1">
      <alignment horizontal="center"/>
    </xf>
    <xf numFmtId="2" fontId="4" fillId="4" borderId="9" xfId="0" applyNumberFormat="1" applyFont="1" applyFill="1" applyBorder="1"/>
    <xf numFmtId="2" fontId="4" fillId="7" borderId="12" xfId="0" applyNumberFormat="1" applyFont="1" applyFill="1" applyBorder="1"/>
    <xf numFmtId="2" fontId="1" fillId="4" borderId="66" xfId="0" applyNumberFormat="1" applyFont="1" applyFill="1" applyBorder="1" applyAlignment="1">
      <alignment horizontal="center" vertical="center" wrapText="1"/>
    </xf>
    <xf numFmtId="2" fontId="1" fillId="4" borderId="67" xfId="0" applyNumberFormat="1" applyFont="1" applyFill="1" applyBorder="1" applyAlignment="1">
      <alignment horizontal="center" vertical="center" wrapText="1"/>
    </xf>
    <xf numFmtId="2" fontId="1" fillId="4" borderId="66" xfId="0" applyNumberFormat="1" applyFont="1" applyFill="1" applyBorder="1" applyAlignment="1">
      <alignment horizontal="center" vertical="center"/>
    </xf>
    <xf numFmtId="2" fontId="1" fillId="4" borderId="67" xfId="0" applyNumberFormat="1" applyFont="1" applyFill="1" applyBorder="1" applyAlignment="1">
      <alignment horizontal="center" vertical="center"/>
    </xf>
    <xf numFmtId="2" fontId="1" fillId="4" borderId="48" xfId="0" applyNumberFormat="1" applyFont="1" applyFill="1" applyBorder="1" applyAlignment="1">
      <alignment horizontal="center" vertical="center"/>
    </xf>
    <xf numFmtId="2" fontId="1" fillId="4" borderId="68" xfId="0" applyNumberFormat="1" applyFont="1" applyFill="1" applyBorder="1" applyAlignment="1">
      <alignment horizontal="center" vertical="center" wrapText="1"/>
    </xf>
    <xf numFmtId="166" fontId="4" fillId="0" borderId="50" xfId="0" applyNumberFormat="1" applyFont="1" applyBorder="1" applyAlignment="1">
      <alignment horizontal="left"/>
    </xf>
    <xf numFmtId="166" fontId="4" fillId="0" borderId="51" xfId="0" applyNumberFormat="1" applyFont="1" applyBorder="1" applyAlignment="1">
      <alignment horizontal="left"/>
    </xf>
    <xf numFmtId="20" fontId="4" fillId="0" borderId="51" xfId="0" applyNumberFormat="1" applyFont="1" applyBorder="1" applyAlignment="1">
      <alignment horizontal="center"/>
    </xf>
    <xf numFmtId="166" fontId="4" fillId="0" borderId="50" xfId="0" applyNumberFormat="1" applyFont="1" applyBorder="1" applyAlignment="1">
      <alignment horizontal="left" vertical="center"/>
    </xf>
    <xf numFmtId="166" fontId="4" fillId="0" borderId="51" xfId="0" applyNumberFormat="1" applyFont="1" applyBorder="1" applyAlignment="1">
      <alignment horizontal="left" vertical="center"/>
    </xf>
    <xf numFmtId="166" fontId="4" fillId="0" borderId="51" xfId="0" applyNumberFormat="1" applyFont="1" applyBorder="1"/>
    <xf numFmtId="166" fontId="4" fillId="0" borderId="63" xfId="0" applyNumberFormat="1" applyFont="1" applyBorder="1"/>
    <xf numFmtId="165" fontId="4" fillId="0" borderId="61" xfId="0" applyNumberFormat="1" applyFont="1" applyBorder="1"/>
    <xf numFmtId="165" fontId="4" fillId="0" borderId="63" xfId="0" applyNumberFormat="1" applyFont="1" applyBorder="1"/>
    <xf numFmtId="0" fontId="3" fillId="0" borderId="52" xfId="0" applyFont="1" applyBorder="1"/>
    <xf numFmtId="0" fontId="4" fillId="0" borderId="12" xfId="0" applyFont="1" applyBorder="1"/>
    <xf numFmtId="2" fontId="1" fillId="6" borderId="60" xfId="0" applyNumberFormat="1" applyFont="1" applyFill="1" applyBorder="1" applyAlignment="1">
      <alignment horizontal="center" vertical="center" wrapText="1"/>
    </xf>
    <xf numFmtId="2" fontId="9" fillId="6" borderId="60" xfId="0" applyNumberFormat="1" applyFont="1" applyFill="1" applyBorder="1" applyAlignment="1">
      <alignment horizontal="center" vertical="center" wrapText="1"/>
    </xf>
    <xf numFmtId="2" fontId="1" fillId="6" borderId="67" xfId="0" applyNumberFormat="1" applyFont="1" applyFill="1" applyBorder="1" applyAlignment="1">
      <alignment horizontal="center" vertical="center" wrapText="1"/>
    </xf>
    <xf numFmtId="165" fontId="4" fillId="0" borderId="51" xfId="0" applyNumberFormat="1" applyFont="1" applyBorder="1" applyAlignment="1">
      <alignment horizontal="right"/>
    </xf>
    <xf numFmtId="2" fontId="4" fillId="0" borderId="69" xfId="0" applyNumberFormat="1" applyFont="1" applyBorder="1" applyAlignment="1">
      <alignment horizontal="right"/>
    </xf>
    <xf numFmtId="167" fontId="4" fillId="0" borderId="70" xfId="0" applyNumberFormat="1" applyFont="1" applyBorder="1" applyAlignment="1">
      <alignment horizontal="right"/>
    </xf>
    <xf numFmtId="2" fontId="4" fillId="0" borderId="70" xfId="0" applyNumberFormat="1" applyFont="1" applyBorder="1"/>
    <xf numFmtId="2" fontId="4" fillId="0" borderId="12" xfId="0" applyNumberFormat="1" applyFont="1" applyBorder="1" applyAlignment="1">
      <alignment horizontal="right"/>
    </xf>
    <xf numFmtId="167" fontId="4" fillId="0" borderId="12" xfId="0" applyNumberFormat="1" applyFont="1" applyBorder="1" applyAlignment="1">
      <alignment horizontal="right"/>
    </xf>
    <xf numFmtId="2" fontId="4" fillId="0" borderId="12" xfId="0" applyNumberFormat="1" applyFont="1" applyBorder="1"/>
    <xf numFmtId="0" fontId="0" fillId="0" borderId="12" xfId="0" applyBorder="1"/>
    <xf numFmtId="167" fontId="4" fillId="0" borderId="12" xfId="0" applyNumberFormat="1" applyFont="1" applyBorder="1"/>
    <xf numFmtId="167" fontId="4" fillId="0" borderId="72" xfId="0" applyNumberFormat="1" applyFont="1" applyBorder="1" applyAlignment="1">
      <alignment horizontal="right"/>
    </xf>
    <xf numFmtId="167" fontId="1" fillId="6" borderId="72" xfId="0" applyNumberFormat="1" applyFont="1" applyFill="1" applyBorder="1" applyAlignment="1">
      <alignment horizontal="center" vertical="center" wrapText="1"/>
    </xf>
    <xf numFmtId="167" fontId="0" fillId="0" borderId="72" xfId="0" applyNumberFormat="1" applyBorder="1"/>
    <xf numFmtId="0" fontId="6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69" xfId="0" applyFont="1" applyBorder="1"/>
    <xf numFmtId="0" fontId="4" fillId="0" borderId="70" xfId="0" applyFont="1" applyBorder="1"/>
    <xf numFmtId="20" fontId="4" fillId="0" borderId="71" xfId="0" applyNumberFormat="1" applyFont="1" applyBorder="1"/>
    <xf numFmtId="0" fontId="3" fillId="0" borderId="73" xfId="0" applyFont="1" applyBorder="1" applyAlignment="1">
      <alignment horizontal="center"/>
    </xf>
    <xf numFmtId="166" fontId="4" fillId="0" borderId="69" xfId="0" applyNumberFormat="1" applyFont="1" applyBorder="1" applyAlignment="1">
      <alignment horizontal="right" vertical="center"/>
    </xf>
    <xf numFmtId="166" fontId="4" fillId="0" borderId="74" xfId="0" applyNumberFormat="1" applyFont="1" applyBorder="1" applyAlignment="1">
      <alignment horizontal="right" vertical="center"/>
    </xf>
    <xf numFmtId="165" fontId="4" fillId="0" borderId="70" xfId="0" applyNumberFormat="1" applyFont="1" applyBorder="1"/>
    <xf numFmtId="0" fontId="4" fillId="0" borderId="70" xfId="0" applyFont="1" applyBorder="1" applyAlignment="1">
      <alignment horizontal="right"/>
    </xf>
    <xf numFmtId="165" fontId="4" fillId="0" borderId="69" xfId="0" applyNumberFormat="1" applyFont="1" applyBorder="1" applyAlignment="1">
      <alignment horizontal="right"/>
    </xf>
    <xf numFmtId="1" fontId="4" fillId="0" borderId="70" xfId="0" applyNumberFormat="1" applyFont="1" applyBorder="1" applyAlignment="1">
      <alignment horizontal="right"/>
    </xf>
    <xf numFmtId="165" fontId="4" fillId="0" borderId="75" xfId="0" applyNumberFormat="1" applyFont="1" applyBorder="1"/>
    <xf numFmtId="2" fontId="4" fillId="0" borderId="69" xfId="0" applyNumberFormat="1" applyFont="1" applyBorder="1"/>
    <xf numFmtId="2" fontId="4" fillId="0" borderId="71" xfId="0" applyNumberFormat="1" applyFont="1" applyBorder="1"/>
    <xf numFmtId="2" fontId="4" fillId="0" borderId="73" xfId="0" applyNumberFormat="1" applyFont="1" applyBorder="1" applyAlignment="1">
      <alignment horizontal="right"/>
    </xf>
    <xf numFmtId="2" fontId="4" fillId="0" borderId="70" xfId="0" applyNumberFormat="1" applyFont="1" applyBorder="1" applyAlignment="1">
      <alignment horizontal="right"/>
    </xf>
    <xf numFmtId="0" fontId="4" fillId="0" borderId="74" xfId="0" applyFont="1" applyBorder="1"/>
    <xf numFmtId="0" fontId="6" fillId="0" borderId="70" xfId="0" applyFont="1" applyBorder="1" applyAlignment="1">
      <alignment horizontal="center"/>
    </xf>
    <xf numFmtId="0" fontId="4" fillId="0" borderId="77" xfId="0" applyFont="1" applyBorder="1"/>
    <xf numFmtId="0" fontId="0" fillId="0" borderId="70" xfId="0" applyBorder="1"/>
    <xf numFmtId="0" fontId="4" fillId="0" borderId="73" xfId="0" applyFont="1" applyBorder="1"/>
    <xf numFmtId="0" fontId="1" fillId="6" borderId="78" xfId="0" applyFont="1" applyFill="1" applyBorder="1" applyAlignment="1">
      <alignment horizontal="center" vertical="center" wrapText="1"/>
    </xf>
    <xf numFmtId="2" fontId="4" fillId="0" borderId="78" xfId="0" applyNumberFormat="1" applyFont="1" applyBorder="1" applyAlignment="1">
      <alignment horizontal="right"/>
    </xf>
    <xf numFmtId="2" fontId="4" fillId="0" borderId="79" xfId="0" applyNumberFormat="1" applyFont="1" applyBorder="1" applyAlignment="1">
      <alignment horizontal="right"/>
    </xf>
    <xf numFmtId="0" fontId="0" fillId="0" borderId="78" xfId="0" applyBorder="1"/>
    <xf numFmtId="167" fontId="4" fillId="0" borderId="76" xfId="0" applyNumberFormat="1" applyFont="1" applyBorder="1" applyAlignment="1">
      <alignment horizontal="right"/>
    </xf>
    <xf numFmtId="165" fontId="4" fillId="0" borderId="12" xfId="0" applyNumberFormat="1" applyFont="1" applyBorder="1" applyAlignment="1">
      <alignment horizontal="right"/>
    </xf>
    <xf numFmtId="165" fontId="0" fillId="0" borderId="12" xfId="0" applyNumberFormat="1" applyBorder="1"/>
    <xf numFmtId="165" fontId="0" fillId="0" borderId="0" xfId="0" applyNumberFormat="1"/>
    <xf numFmtId="165" fontId="4" fillId="0" borderId="12" xfId="0" applyNumberFormat="1" applyFont="1" applyBorder="1"/>
    <xf numFmtId="165" fontId="4" fillId="0" borderId="70" xfId="0" applyNumberFormat="1" applyFont="1" applyBorder="1" applyAlignment="1">
      <alignment horizontal="right"/>
    </xf>
    <xf numFmtId="0" fontId="1" fillId="7" borderId="27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2" fillId="0" borderId="29" xfId="0" applyFont="1" applyBorder="1"/>
    <xf numFmtId="0" fontId="1" fillId="6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5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1" fillId="5" borderId="30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2" fillId="0" borderId="32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5" xfId="0" applyFont="1" applyBorder="1"/>
    <xf numFmtId="165" fontId="1" fillId="3" borderId="1" xfId="0" applyNumberFormat="1" applyFont="1" applyFill="1" applyBorder="1" applyAlignment="1">
      <alignment horizontal="center"/>
    </xf>
    <xf numFmtId="0" fontId="2" fillId="0" borderId="7" xfId="0" applyFont="1" applyBorder="1"/>
    <xf numFmtId="165" fontId="1" fillId="4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 wrapText="1"/>
    </xf>
    <xf numFmtId="0" fontId="2" fillId="0" borderId="34" xfId="0" applyFont="1" applyBorder="1"/>
    <xf numFmtId="0" fontId="1" fillId="7" borderId="23" xfId="0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25" xfId="0" applyFont="1" applyBorder="1"/>
    <xf numFmtId="2" fontId="1" fillId="6" borderId="65" xfId="0" applyNumberFormat="1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1" fillId="6" borderId="65" xfId="0" applyFont="1" applyFill="1" applyBorder="1" applyAlignment="1">
      <alignment horizontal="center" vertical="center" wrapText="1"/>
    </xf>
    <xf numFmtId="165" fontId="1" fillId="4" borderId="22" xfId="0" applyNumberFormat="1" applyFont="1" applyFill="1" applyBorder="1" applyAlignment="1">
      <alignment horizontal="center" vertical="center" wrapText="1"/>
    </xf>
    <xf numFmtId="0" fontId="2" fillId="0" borderId="39" xfId="0" applyFont="1" applyBorder="1"/>
    <xf numFmtId="2" fontId="1" fillId="7" borderId="23" xfId="0" applyNumberFormat="1" applyFont="1" applyFill="1" applyBorder="1" applyAlignment="1">
      <alignment horizontal="center" vertical="center" wrapText="1"/>
    </xf>
    <xf numFmtId="2" fontId="4" fillId="4" borderId="10" xfId="0" applyNumberFormat="1" applyFont="1" applyFill="1" applyBorder="1" applyAlignment="1">
      <alignment horizontal="center"/>
    </xf>
    <xf numFmtId="0" fontId="2" fillId="0" borderId="11" xfId="0" applyFont="1" applyBorder="1"/>
    <xf numFmtId="0" fontId="1" fillId="4" borderId="21" xfId="0" applyFont="1" applyFill="1" applyBorder="1" applyAlignment="1">
      <alignment horizontal="center" vertical="center" wrapText="1"/>
    </xf>
    <xf numFmtId="0" fontId="2" fillId="0" borderId="44" xfId="0" applyFont="1" applyBorder="1"/>
    <xf numFmtId="0" fontId="1" fillId="7" borderId="33" xfId="0" applyFont="1" applyFill="1" applyBorder="1" applyAlignment="1">
      <alignment horizontal="center" vertical="center"/>
    </xf>
    <xf numFmtId="0" fontId="2" fillId="0" borderId="49" xfId="0" applyFont="1" applyBorder="1"/>
    <xf numFmtId="0" fontId="1" fillId="2" borderId="18" xfId="0" applyFont="1" applyFill="1" applyBorder="1" applyAlignment="1">
      <alignment horizontal="center" vertical="center" wrapText="1"/>
    </xf>
    <xf numFmtId="0" fontId="2" fillId="0" borderId="35" xfId="0" applyFont="1" applyBorder="1"/>
    <xf numFmtId="2" fontId="1" fillId="2" borderId="19" xfId="0" applyNumberFormat="1" applyFont="1" applyFill="1" applyBorder="1" applyAlignment="1">
      <alignment horizontal="center" vertical="center" wrapText="1"/>
    </xf>
    <xf numFmtId="0" fontId="2" fillId="0" borderId="36" xfId="0" applyFont="1" applyBorder="1"/>
    <xf numFmtId="0" fontId="5" fillId="2" borderId="20" xfId="0" applyFont="1" applyFill="1" applyBorder="1" applyAlignment="1">
      <alignment horizontal="center" vertical="center" wrapText="1"/>
    </xf>
    <xf numFmtId="0" fontId="2" fillId="0" borderId="37" xfId="0" applyFont="1" applyBorder="1"/>
    <xf numFmtId="166" fontId="1" fillId="2" borderId="17" xfId="0" applyNumberFormat="1" applyFont="1" applyFill="1" applyBorder="1" applyAlignment="1">
      <alignment horizontal="center" vertical="center"/>
    </xf>
    <xf numFmtId="166" fontId="1" fillId="2" borderId="21" xfId="0" applyNumberFormat="1" applyFont="1" applyFill="1" applyBorder="1" applyAlignment="1">
      <alignment horizontal="center" vertical="center"/>
    </xf>
    <xf numFmtId="0" fontId="2" fillId="0" borderId="38" xfId="0" applyFont="1" applyBorder="1"/>
    <xf numFmtId="165" fontId="1" fillId="2" borderId="18" xfId="0" applyNumberFormat="1" applyFont="1" applyFill="1" applyBorder="1" applyAlignment="1">
      <alignment horizontal="center" vertical="center" wrapText="1"/>
    </xf>
    <xf numFmtId="165" fontId="1" fillId="3" borderId="17" xfId="0" applyNumberFormat="1" applyFont="1" applyFill="1" applyBorder="1" applyAlignment="1">
      <alignment horizontal="center" vertical="center" wrapText="1"/>
    </xf>
    <xf numFmtId="165" fontId="1" fillId="3" borderId="18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2" fontId="1" fillId="7" borderId="26" xfId="0" applyNumberFormat="1" applyFont="1" applyFill="1" applyBorder="1" applyAlignment="1">
      <alignment horizontal="center" vertical="center"/>
    </xf>
    <xf numFmtId="165" fontId="1" fillId="2" borderId="17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/>
    </xf>
    <xf numFmtId="165" fontId="1" fillId="4" borderId="19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/>
    </xf>
    <xf numFmtId="166" fontId="1" fillId="2" borderId="19" xfId="0" applyNumberFormat="1" applyFont="1" applyFill="1" applyBorder="1" applyAlignment="1">
      <alignment horizontal="center" vertical="center"/>
    </xf>
    <xf numFmtId="167" fontId="1" fillId="6" borderId="60" xfId="0" applyNumberFormat="1" applyFont="1" applyFill="1" applyBorder="1" applyAlignment="1">
      <alignment horizontal="center" vertical="center" wrapText="1"/>
    </xf>
    <xf numFmtId="167" fontId="0" fillId="0" borderId="12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DO_corr!$T$4:$T$196</c:f>
              <c:numCache>
                <c:formatCode>0.00</c:formatCode>
                <c:ptCount val="193"/>
                <c:pt idx="0">
                  <c:v>5.9219999999999997</c:v>
                </c:pt>
                <c:pt idx="1">
                  <c:v>6.15</c:v>
                </c:pt>
                <c:pt idx="2">
                  <c:v>6.2380000000000004</c:v>
                </c:pt>
                <c:pt idx="3">
                  <c:v>6.5570000000000004</c:v>
                </c:pt>
                <c:pt idx="4">
                  <c:v>6.4820000000000002</c:v>
                </c:pt>
                <c:pt idx="5">
                  <c:v>6.4429999999999996</c:v>
                </c:pt>
                <c:pt idx="9">
                  <c:v>7.7069999999999999</c:v>
                </c:pt>
                <c:pt idx="10">
                  <c:v>7.1929999999999996</c:v>
                </c:pt>
                <c:pt idx="11">
                  <c:v>6.8230000000000004</c:v>
                </c:pt>
                <c:pt idx="15">
                  <c:v>8.5730000000000004</c:v>
                </c:pt>
                <c:pt idx="16">
                  <c:v>8.1300000000000008</c:v>
                </c:pt>
                <c:pt idx="17">
                  <c:v>5.9459999999999997</c:v>
                </c:pt>
                <c:pt idx="18">
                  <c:v>11.712</c:v>
                </c:pt>
                <c:pt idx="19">
                  <c:v>9.0169999999999995</c:v>
                </c:pt>
                <c:pt idx="20">
                  <c:v>5.431</c:v>
                </c:pt>
                <c:pt idx="21">
                  <c:v>9.9309999999999992</c:v>
                </c:pt>
                <c:pt idx="22">
                  <c:v>8.6760000000000002</c:v>
                </c:pt>
                <c:pt idx="23">
                  <c:v>5.2009999999999996</c:v>
                </c:pt>
                <c:pt idx="24">
                  <c:v>4.4950000000000001</c:v>
                </c:pt>
                <c:pt idx="25">
                  <c:v>4.2839999999999998</c:v>
                </c:pt>
                <c:pt idx="26">
                  <c:v>6.4669999999999996</c:v>
                </c:pt>
                <c:pt idx="30">
                  <c:v>9.2059999999999995</c:v>
                </c:pt>
                <c:pt idx="31">
                  <c:v>7.07</c:v>
                </c:pt>
                <c:pt idx="32">
                  <c:v>6.5350000000000001</c:v>
                </c:pt>
                <c:pt idx="36">
                  <c:v>8.4459999999999997</c:v>
                </c:pt>
                <c:pt idx="37">
                  <c:v>8.2739999999999991</c:v>
                </c:pt>
                <c:pt idx="38">
                  <c:v>6.5919999999999996</c:v>
                </c:pt>
                <c:pt idx="42">
                  <c:v>7.0279999999999996</c:v>
                </c:pt>
                <c:pt idx="43">
                  <c:v>6.9889999999999999</c:v>
                </c:pt>
                <c:pt idx="44">
                  <c:v>6.806</c:v>
                </c:pt>
                <c:pt idx="48">
                  <c:v>6.98</c:v>
                </c:pt>
                <c:pt idx="49">
                  <c:v>6.9690000000000003</c:v>
                </c:pt>
                <c:pt idx="50">
                  <c:v>6.7789999999999999</c:v>
                </c:pt>
                <c:pt idx="54">
                  <c:v>4.867</c:v>
                </c:pt>
                <c:pt idx="56">
                  <c:v>5.4349999999999996</c:v>
                </c:pt>
                <c:pt idx="57">
                  <c:v>7.0890000000000004</c:v>
                </c:pt>
                <c:pt idx="59">
                  <c:v>6.73</c:v>
                </c:pt>
                <c:pt idx="60">
                  <c:v>6.5069999999999997</c:v>
                </c:pt>
                <c:pt idx="61">
                  <c:v>6.3339999999999996</c:v>
                </c:pt>
                <c:pt idx="62">
                  <c:v>6.266</c:v>
                </c:pt>
                <c:pt idx="66">
                  <c:v>6.633</c:v>
                </c:pt>
                <c:pt idx="67">
                  <c:v>6.6369999999999996</c:v>
                </c:pt>
                <c:pt idx="68">
                  <c:v>6.609</c:v>
                </c:pt>
                <c:pt idx="78">
                  <c:v>16.074999999999999</c:v>
                </c:pt>
                <c:pt idx="79">
                  <c:v>10.413</c:v>
                </c:pt>
                <c:pt idx="80">
                  <c:v>5.2050000000000001</c:v>
                </c:pt>
                <c:pt idx="81">
                  <c:v>4.0609999999999999</c:v>
                </c:pt>
                <c:pt idx="82">
                  <c:v>2.5640000000000001</c:v>
                </c:pt>
                <c:pt idx="83">
                  <c:v>2.7229999999999999</c:v>
                </c:pt>
                <c:pt idx="84">
                  <c:v>4.1340000000000003</c:v>
                </c:pt>
                <c:pt idx="86">
                  <c:v>3.9790000000000001</c:v>
                </c:pt>
                <c:pt idx="87">
                  <c:v>6.8959999999999999</c:v>
                </c:pt>
                <c:pt idx="88">
                  <c:v>6.516</c:v>
                </c:pt>
                <c:pt idx="89">
                  <c:v>6.3410000000000002</c:v>
                </c:pt>
                <c:pt idx="96">
                  <c:v>7.3369999999999997</c:v>
                </c:pt>
                <c:pt idx="97">
                  <c:v>7.008</c:v>
                </c:pt>
                <c:pt idx="98">
                  <c:v>6.8449999999999998</c:v>
                </c:pt>
                <c:pt idx="102">
                  <c:v>5.9589999999999996</c:v>
                </c:pt>
                <c:pt idx="103">
                  <c:v>5.6909999999999998</c:v>
                </c:pt>
                <c:pt idx="104">
                  <c:v>4.8719999999999999</c:v>
                </c:pt>
                <c:pt idx="105">
                  <c:v>6.6109999999999998</c:v>
                </c:pt>
                <c:pt idx="106">
                  <c:v>6.4870000000000001</c:v>
                </c:pt>
                <c:pt idx="107">
                  <c:v>5.0709999999999997</c:v>
                </c:pt>
                <c:pt idx="111">
                  <c:v>7.0670000000000002</c:v>
                </c:pt>
                <c:pt idx="112">
                  <c:v>6.81</c:v>
                </c:pt>
                <c:pt idx="113">
                  <c:v>6.0780000000000003</c:v>
                </c:pt>
                <c:pt idx="117">
                  <c:v>8.14</c:v>
                </c:pt>
                <c:pt idx="118">
                  <c:v>7.0519999999999996</c:v>
                </c:pt>
                <c:pt idx="119">
                  <c:v>6.673</c:v>
                </c:pt>
                <c:pt idx="123">
                  <c:v>8.4269999999999996</c:v>
                </c:pt>
                <c:pt idx="124">
                  <c:v>6.5810000000000004</c:v>
                </c:pt>
                <c:pt idx="125">
                  <c:v>5.88</c:v>
                </c:pt>
                <c:pt idx="129">
                  <c:v>10.483000000000001</c:v>
                </c:pt>
                <c:pt idx="130">
                  <c:v>7.2270000000000003</c:v>
                </c:pt>
                <c:pt idx="131">
                  <c:v>6.27</c:v>
                </c:pt>
                <c:pt idx="135">
                  <c:v>9.5399999999999991</c:v>
                </c:pt>
                <c:pt idx="136">
                  <c:v>7.8239999999999998</c:v>
                </c:pt>
                <c:pt idx="137">
                  <c:v>5.3650000000000002</c:v>
                </c:pt>
                <c:pt idx="138">
                  <c:v>13.208</c:v>
                </c:pt>
                <c:pt idx="139">
                  <c:v>7.2110000000000003</c:v>
                </c:pt>
                <c:pt idx="140">
                  <c:v>5.54</c:v>
                </c:pt>
                <c:pt idx="141">
                  <c:v>9.4339999999999993</c:v>
                </c:pt>
                <c:pt idx="142">
                  <c:v>8.33</c:v>
                </c:pt>
                <c:pt idx="143">
                  <c:v>5.048</c:v>
                </c:pt>
                <c:pt idx="144">
                  <c:v>8.7050000000000001</c:v>
                </c:pt>
                <c:pt idx="145">
                  <c:v>8.3450000000000006</c:v>
                </c:pt>
                <c:pt idx="146">
                  <c:v>4.2830000000000004</c:v>
                </c:pt>
                <c:pt idx="147">
                  <c:v>4.0229999999999997</c:v>
                </c:pt>
                <c:pt idx="148">
                  <c:v>3.843</c:v>
                </c:pt>
                <c:pt idx="149">
                  <c:v>3.8370000000000002</c:v>
                </c:pt>
                <c:pt idx="150">
                  <c:v>7.21</c:v>
                </c:pt>
                <c:pt idx="152">
                  <c:v>5.6239999999999997</c:v>
                </c:pt>
                <c:pt idx="153">
                  <c:v>6.9880000000000004</c:v>
                </c:pt>
                <c:pt idx="154">
                  <c:v>7.2220000000000004</c:v>
                </c:pt>
                <c:pt idx="155">
                  <c:v>5.5229999999999997</c:v>
                </c:pt>
                <c:pt idx="156">
                  <c:v>6.4550000000000001</c:v>
                </c:pt>
                <c:pt idx="157">
                  <c:v>5.4180000000000001</c:v>
                </c:pt>
                <c:pt idx="158">
                  <c:v>4.88</c:v>
                </c:pt>
                <c:pt idx="159">
                  <c:v>6.6109999999999998</c:v>
                </c:pt>
                <c:pt idx="160">
                  <c:v>5.6989999999999998</c:v>
                </c:pt>
                <c:pt idx="161">
                  <c:v>4.57</c:v>
                </c:pt>
                <c:pt idx="162">
                  <c:v>9.9320000000000004</c:v>
                </c:pt>
                <c:pt idx="163">
                  <c:v>6.742</c:v>
                </c:pt>
                <c:pt idx="164">
                  <c:v>6.51</c:v>
                </c:pt>
                <c:pt idx="171">
                  <c:v>7.3479999999999999</c:v>
                </c:pt>
                <c:pt idx="172">
                  <c:v>7.2949999999999999</c:v>
                </c:pt>
                <c:pt idx="173">
                  <c:v>6.9589999999999996</c:v>
                </c:pt>
                <c:pt idx="174">
                  <c:v>6.7850000000000001</c:v>
                </c:pt>
                <c:pt idx="175">
                  <c:v>6.7720000000000002</c:v>
                </c:pt>
                <c:pt idx="176">
                  <c:v>6.73</c:v>
                </c:pt>
                <c:pt idx="180">
                  <c:v>6.9420000000000002</c:v>
                </c:pt>
                <c:pt idx="181">
                  <c:v>6.891</c:v>
                </c:pt>
                <c:pt idx="182">
                  <c:v>6.8529999999999998</c:v>
                </c:pt>
                <c:pt idx="189">
                  <c:v>4.0990000000000002</c:v>
                </c:pt>
              </c:numCache>
            </c:numRef>
          </c:xVal>
          <c:yVal>
            <c:numRef>
              <c:f>DO_corr!$U$4:$U$196</c:f>
              <c:numCache>
                <c:formatCode>0.00</c:formatCode>
                <c:ptCount val="193"/>
                <c:pt idx="0">
                  <c:v>6.24</c:v>
                </c:pt>
                <c:pt idx="1">
                  <c:v>6.43</c:v>
                </c:pt>
                <c:pt idx="2">
                  <c:v>6.21</c:v>
                </c:pt>
                <c:pt idx="3">
                  <c:v>6.35</c:v>
                </c:pt>
                <c:pt idx="4">
                  <c:v>6.29</c:v>
                </c:pt>
                <c:pt idx="5">
                  <c:v>7.19</c:v>
                </c:pt>
                <c:pt idx="9">
                  <c:v>6.6</c:v>
                </c:pt>
                <c:pt idx="10">
                  <c:v>6.91</c:v>
                </c:pt>
                <c:pt idx="11">
                  <c:v>6.54</c:v>
                </c:pt>
                <c:pt idx="15">
                  <c:v>7.16</c:v>
                </c:pt>
                <c:pt idx="16">
                  <c:v>7.03</c:v>
                </c:pt>
                <c:pt idx="17">
                  <c:v>6.68</c:v>
                </c:pt>
                <c:pt idx="18">
                  <c:v>6.16</c:v>
                </c:pt>
                <c:pt idx="19">
                  <c:v>9.59</c:v>
                </c:pt>
                <c:pt idx="20">
                  <c:v>6.36</c:v>
                </c:pt>
                <c:pt idx="21">
                  <c:v>8.2200000000000006</c:v>
                </c:pt>
                <c:pt idx="22">
                  <c:v>9.27</c:v>
                </c:pt>
                <c:pt idx="23">
                  <c:v>8.01</c:v>
                </c:pt>
                <c:pt idx="24">
                  <c:v>4.1399999999999997</c:v>
                </c:pt>
                <c:pt idx="25">
                  <c:v>5.36</c:v>
                </c:pt>
                <c:pt idx="26">
                  <c:v>5.59</c:v>
                </c:pt>
                <c:pt idx="30">
                  <c:v>6.33</c:v>
                </c:pt>
                <c:pt idx="31">
                  <c:v>7.17</c:v>
                </c:pt>
                <c:pt idx="32">
                  <c:v>6.47</c:v>
                </c:pt>
                <c:pt idx="36">
                  <c:v>7.68</c:v>
                </c:pt>
                <c:pt idx="37">
                  <c:v>7.53</c:v>
                </c:pt>
                <c:pt idx="38">
                  <c:v>6.92</c:v>
                </c:pt>
                <c:pt idx="42">
                  <c:v>6.64</c:v>
                </c:pt>
                <c:pt idx="43">
                  <c:v>6.84</c:v>
                </c:pt>
                <c:pt idx="44">
                  <c:v>6.39</c:v>
                </c:pt>
                <c:pt idx="48">
                  <c:v>6.48</c:v>
                </c:pt>
                <c:pt idx="49">
                  <c:v>6.33</c:v>
                </c:pt>
                <c:pt idx="50">
                  <c:v>6.94</c:v>
                </c:pt>
                <c:pt idx="54">
                  <c:v>4.6399999999999997</c:v>
                </c:pt>
                <c:pt idx="56">
                  <c:v>4.8499999999999996</c:v>
                </c:pt>
                <c:pt idx="57">
                  <c:v>6.34</c:v>
                </c:pt>
                <c:pt idx="59">
                  <c:v>6.25</c:v>
                </c:pt>
                <c:pt idx="60">
                  <c:v>6.56</c:v>
                </c:pt>
                <c:pt idx="61">
                  <c:v>5.93</c:v>
                </c:pt>
                <c:pt idx="62">
                  <c:v>6.01</c:v>
                </c:pt>
                <c:pt idx="66">
                  <c:v>6.28</c:v>
                </c:pt>
                <c:pt idx="67">
                  <c:v>6.36</c:v>
                </c:pt>
                <c:pt idx="68">
                  <c:v>6.17</c:v>
                </c:pt>
                <c:pt idx="78">
                  <c:v>14.02</c:v>
                </c:pt>
                <c:pt idx="79">
                  <c:v>12.27</c:v>
                </c:pt>
                <c:pt idx="80">
                  <c:v>10.74</c:v>
                </c:pt>
                <c:pt idx="81">
                  <c:v>3.93</c:v>
                </c:pt>
                <c:pt idx="82">
                  <c:v>3.56</c:v>
                </c:pt>
                <c:pt idx="83">
                  <c:v>3.9</c:v>
                </c:pt>
                <c:pt idx="84">
                  <c:v>4.49</c:v>
                </c:pt>
                <c:pt idx="86">
                  <c:v>3.88</c:v>
                </c:pt>
                <c:pt idx="87">
                  <c:v>6.41</c:v>
                </c:pt>
                <c:pt idx="88">
                  <c:v>6.43</c:v>
                </c:pt>
                <c:pt idx="89">
                  <c:v>6.02</c:v>
                </c:pt>
                <c:pt idx="96">
                  <c:v>6.44</c:v>
                </c:pt>
                <c:pt idx="97">
                  <c:v>6.56</c:v>
                </c:pt>
                <c:pt idx="98">
                  <c:v>6.77</c:v>
                </c:pt>
                <c:pt idx="102">
                  <c:v>6.58</c:v>
                </c:pt>
                <c:pt idx="103">
                  <c:v>6.09</c:v>
                </c:pt>
                <c:pt idx="104">
                  <c:v>5.81</c:v>
                </c:pt>
                <c:pt idx="105">
                  <c:v>6.34</c:v>
                </c:pt>
                <c:pt idx="106">
                  <c:v>6.6</c:v>
                </c:pt>
                <c:pt idx="107">
                  <c:v>5.76</c:v>
                </c:pt>
                <c:pt idx="111">
                  <c:v>6.62</c:v>
                </c:pt>
                <c:pt idx="112">
                  <c:v>7.08</c:v>
                </c:pt>
                <c:pt idx="113">
                  <c:v>6.62</c:v>
                </c:pt>
                <c:pt idx="117">
                  <c:v>7.75</c:v>
                </c:pt>
                <c:pt idx="118">
                  <c:v>7.54</c:v>
                </c:pt>
                <c:pt idx="119">
                  <c:v>6.84</c:v>
                </c:pt>
                <c:pt idx="123">
                  <c:v>7.93</c:v>
                </c:pt>
                <c:pt idx="124">
                  <c:v>6.3</c:v>
                </c:pt>
                <c:pt idx="125">
                  <c:v>6.49</c:v>
                </c:pt>
                <c:pt idx="129">
                  <c:v>9.4600000000000009</c:v>
                </c:pt>
                <c:pt idx="130">
                  <c:v>7.64</c:v>
                </c:pt>
                <c:pt idx="131">
                  <c:v>6.08</c:v>
                </c:pt>
                <c:pt idx="135">
                  <c:v>9.2899999999999991</c:v>
                </c:pt>
                <c:pt idx="136">
                  <c:v>8.0299999999999994</c:v>
                </c:pt>
                <c:pt idx="137">
                  <c:v>6.3</c:v>
                </c:pt>
                <c:pt idx="138">
                  <c:v>12.18</c:v>
                </c:pt>
                <c:pt idx="139">
                  <c:v>9.7200000000000006</c:v>
                </c:pt>
                <c:pt idx="140">
                  <c:v>7.56</c:v>
                </c:pt>
                <c:pt idx="141">
                  <c:v>9.0399999999999991</c:v>
                </c:pt>
                <c:pt idx="142">
                  <c:v>8.35</c:v>
                </c:pt>
                <c:pt idx="143">
                  <c:v>5.25</c:v>
                </c:pt>
                <c:pt idx="144">
                  <c:v>7.48</c:v>
                </c:pt>
                <c:pt idx="145">
                  <c:v>7.66</c:v>
                </c:pt>
                <c:pt idx="146">
                  <c:v>7.53</c:v>
                </c:pt>
                <c:pt idx="147">
                  <c:v>4.3899999999999997</c:v>
                </c:pt>
                <c:pt idx="148">
                  <c:v>3.9</c:v>
                </c:pt>
                <c:pt idx="149">
                  <c:v>3.76</c:v>
                </c:pt>
                <c:pt idx="150">
                  <c:v>5.98</c:v>
                </c:pt>
                <c:pt idx="152">
                  <c:v>6</c:v>
                </c:pt>
                <c:pt idx="153">
                  <c:v>6.72</c:v>
                </c:pt>
                <c:pt idx="154">
                  <c:v>6.52</c:v>
                </c:pt>
                <c:pt idx="155">
                  <c:v>5.67</c:v>
                </c:pt>
                <c:pt idx="156">
                  <c:v>6.29</c:v>
                </c:pt>
                <c:pt idx="157">
                  <c:v>6.08</c:v>
                </c:pt>
                <c:pt idx="158">
                  <c:v>6.01</c:v>
                </c:pt>
                <c:pt idx="159">
                  <c:v>6.11</c:v>
                </c:pt>
                <c:pt idx="160">
                  <c:v>4.75</c:v>
                </c:pt>
                <c:pt idx="161">
                  <c:v>5</c:v>
                </c:pt>
                <c:pt idx="162">
                  <c:v>9.2799999999999994</c:v>
                </c:pt>
                <c:pt idx="163">
                  <c:v>7.14</c:v>
                </c:pt>
                <c:pt idx="164">
                  <c:v>6.44</c:v>
                </c:pt>
                <c:pt idx="171">
                  <c:v>6.93</c:v>
                </c:pt>
                <c:pt idx="172">
                  <c:v>6.89</c:v>
                </c:pt>
                <c:pt idx="173">
                  <c:v>6.61</c:v>
                </c:pt>
                <c:pt idx="174">
                  <c:v>6.68</c:v>
                </c:pt>
                <c:pt idx="175">
                  <c:v>6.58</c:v>
                </c:pt>
                <c:pt idx="176">
                  <c:v>6.7</c:v>
                </c:pt>
                <c:pt idx="180">
                  <c:v>5.83</c:v>
                </c:pt>
                <c:pt idx="181">
                  <c:v>6.67</c:v>
                </c:pt>
                <c:pt idx="182">
                  <c:v>6.54</c:v>
                </c:pt>
                <c:pt idx="189">
                  <c:v>4.4400000000000004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AB-450A-ADBA-9CA6BA4A80F8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DO_corr!$T$4:$T$196</c:f>
              <c:numCache>
                <c:formatCode>0.00</c:formatCode>
                <c:ptCount val="193"/>
                <c:pt idx="0">
                  <c:v>5.9219999999999997</c:v>
                </c:pt>
                <c:pt idx="1">
                  <c:v>6.15</c:v>
                </c:pt>
                <c:pt idx="2">
                  <c:v>6.2380000000000004</c:v>
                </c:pt>
                <c:pt idx="3">
                  <c:v>6.5570000000000004</c:v>
                </c:pt>
                <c:pt idx="4">
                  <c:v>6.4820000000000002</c:v>
                </c:pt>
                <c:pt idx="5">
                  <c:v>6.4429999999999996</c:v>
                </c:pt>
                <c:pt idx="9">
                  <c:v>7.7069999999999999</c:v>
                </c:pt>
                <c:pt idx="10">
                  <c:v>7.1929999999999996</c:v>
                </c:pt>
                <c:pt idx="11">
                  <c:v>6.8230000000000004</c:v>
                </c:pt>
                <c:pt idx="15">
                  <c:v>8.5730000000000004</c:v>
                </c:pt>
                <c:pt idx="16">
                  <c:v>8.1300000000000008</c:v>
                </c:pt>
                <c:pt idx="17">
                  <c:v>5.9459999999999997</c:v>
                </c:pt>
                <c:pt idx="18">
                  <c:v>11.712</c:v>
                </c:pt>
                <c:pt idx="19">
                  <c:v>9.0169999999999995</c:v>
                </c:pt>
                <c:pt idx="20">
                  <c:v>5.431</c:v>
                </c:pt>
                <c:pt idx="21">
                  <c:v>9.9309999999999992</c:v>
                </c:pt>
                <c:pt idx="22">
                  <c:v>8.6760000000000002</c:v>
                </c:pt>
                <c:pt idx="23">
                  <c:v>5.2009999999999996</c:v>
                </c:pt>
                <c:pt idx="24">
                  <c:v>4.4950000000000001</c:v>
                </c:pt>
                <c:pt idx="25">
                  <c:v>4.2839999999999998</c:v>
                </c:pt>
                <c:pt idx="26">
                  <c:v>6.4669999999999996</c:v>
                </c:pt>
                <c:pt idx="30">
                  <c:v>9.2059999999999995</c:v>
                </c:pt>
                <c:pt idx="31">
                  <c:v>7.07</c:v>
                </c:pt>
                <c:pt idx="32">
                  <c:v>6.5350000000000001</c:v>
                </c:pt>
                <c:pt idx="36">
                  <c:v>8.4459999999999997</c:v>
                </c:pt>
                <c:pt idx="37">
                  <c:v>8.2739999999999991</c:v>
                </c:pt>
                <c:pt idx="38">
                  <c:v>6.5919999999999996</c:v>
                </c:pt>
                <c:pt idx="42">
                  <c:v>7.0279999999999996</c:v>
                </c:pt>
                <c:pt idx="43">
                  <c:v>6.9889999999999999</c:v>
                </c:pt>
                <c:pt idx="44">
                  <c:v>6.806</c:v>
                </c:pt>
                <c:pt idx="48">
                  <c:v>6.98</c:v>
                </c:pt>
                <c:pt idx="49">
                  <c:v>6.9690000000000003</c:v>
                </c:pt>
                <c:pt idx="50">
                  <c:v>6.7789999999999999</c:v>
                </c:pt>
                <c:pt idx="54">
                  <c:v>4.867</c:v>
                </c:pt>
                <c:pt idx="56">
                  <c:v>5.4349999999999996</c:v>
                </c:pt>
                <c:pt idx="57">
                  <c:v>7.0890000000000004</c:v>
                </c:pt>
                <c:pt idx="59">
                  <c:v>6.73</c:v>
                </c:pt>
                <c:pt idx="60">
                  <c:v>6.5069999999999997</c:v>
                </c:pt>
                <c:pt idx="61">
                  <c:v>6.3339999999999996</c:v>
                </c:pt>
                <c:pt idx="62">
                  <c:v>6.266</c:v>
                </c:pt>
                <c:pt idx="66">
                  <c:v>6.633</c:v>
                </c:pt>
                <c:pt idx="67">
                  <c:v>6.6369999999999996</c:v>
                </c:pt>
                <c:pt idx="68">
                  <c:v>6.609</c:v>
                </c:pt>
                <c:pt idx="78">
                  <c:v>16.074999999999999</c:v>
                </c:pt>
                <c:pt idx="79">
                  <c:v>10.413</c:v>
                </c:pt>
                <c:pt idx="80">
                  <c:v>5.2050000000000001</c:v>
                </c:pt>
                <c:pt idx="81">
                  <c:v>4.0609999999999999</c:v>
                </c:pt>
                <c:pt idx="82">
                  <c:v>2.5640000000000001</c:v>
                </c:pt>
                <c:pt idx="83">
                  <c:v>2.7229999999999999</c:v>
                </c:pt>
                <c:pt idx="84">
                  <c:v>4.1340000000000003</c:v>
                </c:pt>
                <c:pt idx="86">
                  <c:v>3.9790000000000001</c:v>
                </c:pt>
                <c:pt idx="87">
                  <c:v>6.8959999999999999</c:v>
                </c:pt>
                <c:pt idx="88">
                  <c:v>6.516</c:v>
                </c:pt>
                <c:pt idx="89">
                  <c:v>6.3410000000000002</c:v>
                </c:pt>
                <c:pt idx="96">
                  <c:v>7.3369999999999997</c:v>
                </c:pt>
                <c:pt idx="97">
                  <c:v>7.008</c:v>
                </c:pt>
                <c:pt idx="98">
                  <c:v>6.8449999999999998</c:v>
                </c:pt>
                <c:pt idx="102">
                  <c:v>5.9589999999999996</c:v>
                </c:pt>
                <c:pt idx="103">
                  <c:v>5.6909999999999998</c:v>
                </c:pt>
                <c:pt idx="104">
                  <c:v>4.8719999999999999</c:v>
                </c:pt>
                <c:pt idx="105">
                  <c:v>6.6109999999999998</c:v>
                </c:pt>
                <c:pt idx="106">
                  <c:v>6.4870000000000001</c:v>
                </c:pt>
                <c:pt idx="107">
                  <c:v>5.0709999999999997</c:v>
                </c:pt>
                <c:pt idx="111">
                  <c:v>7.0670000000000002</c:v>
                </c:pt>
                <c:pt idx="112">
                  <c:v>6.81</c:v>
                </c:pt>
                <c:pt idx="113">
                  <c:v>6.0780000000000003</c:v>
                </c:pt>
                <c:pt idx="117">
                  <c:v>8.14</c:v>
                </c:pt>
                <c:pt idx="118">
                  <c:v>7.0519999999999996</c:v>
                </c:pt>
                <c:pt idx="119">
                  <c:v>6.673</c:v>
                </c:pt>
                <c:pt idx="123">
                  <c:v>8.4269999999999996</c:v>
                </c:pt>
                <c:pt idx="124">
                  <c:v>6.5810000000000004</c:v>
                </c:pt>
                <c:pt idx="125">
                  <c:v>5.88</c:v>
                </c:pt>
                <c:pt idx="129">
                  <c:v>10.483000000000001</c:v>
                </c:pt>
                <c:pt idx="130">
                  <c:v>7.2270000000000003</c:v>
                </c:pt>
                <c:pt idx="131">
                  <c:v>6.27</c:v>
                </c:pt>
                <c:pt idx="135">
                  <c:v>9.5399999999999991</c:v>
                </c:pt>
                <c:pt idx="136">
                  <c:v>7.8239999999999998</c:v>
                </c:pt>
                <c:pt idx="137">
                  <c:v>5.3650000000000002</c:v>
                </c:pt>
                <c:pt idx="138">
                  <c:v>13.208</c:v>
                </c:pt>
                <c:pt idx="139">
                  <c:v>7.2110000000000003</c:v>
                </c:pt>
                <c:pt idx="140">
                  <c:v>5.54</c:v>
                </c:pt>
                <c:pt idx="141">
                  <c:v>9.4339999999999993</c:v>
                </c:pt>
                <c:pt idx="142">
                  <c:v>8.33</c:v>
                </c:pt>
                <c:pt idx="143">
                  <c:v>5.048</c:v>
                </c:pt>
                <c:pt idx="144">
                  <c:v>8.7050000000000001</c:v>
                </c:pt>
                <c:pt idx="145">
                  <c:v>8.3450000000000006</c:v>
                </c:pt>
                <c:pt idx="146">
                  <c:v>4.2830000000000004</c:v>
                </c:pt>
                <c:pt idx="147">
                  <c:v>4.0229999999999997</c:v>
                </c:pt>
                <c:pt idx="148">
                  <c:v>3.843</c:v>
                </c:pt>
                <c:pt idx="149">
                  <c:v>3.8370000000000002</c:v>
                </c:pt>
                <c:pt idx="150">
                  <c:v>7.21</c:v>
                </c:pt>
                <c:pt idx="152">
                  <c:v>5.6239999999999997</c:v>
                </c:pt>
                <c:pt idx="153">
                  <c:v>6.9880000000000004</c:v>
                </c:pt>
                <c:pt idx="154">
                  <c:v>7.2220000000000004</c:v>
                </c:pt>
                <c:pt idx="155">
                  <c:v>5.5229999999999997</c:v>
                </c:pt>
                <c:pt idx="156">
                  <c:v>6.4550000000000001</c:v>
                </c:pt>
                <c:pt idx="157">
                  <c:v>5.4180000000000001</c:v>
                </c:pt>
                <c:pt idx="158">
                  <c:v>4.88</c:v>
                </c:pt>
                <c:pt idx="159">
                  <c:v>6.6109999999999998</c:v>
                </c:pt>
                <c:pt idx="160">
                  <c:v>5.6989999999999998</c:v>
                </c:pt>
                <c:pt idx="161">
                  <c:v>4.57</c:v>
                </c:pt>
                <c:pt idx="162">
                  <c:v>9.9320000000000004</c:v>
                </c:pt>
                <c:pt idx="163">
                  <c:v>6.742</c:v>
                </c:pt>
                <c:pt idx="164">
                  <c:v>6.51</c:v>
                </c:pt>
                <c:pt idx="171">
                  <c:v>7.3479999999999999</c:v>
                </c:pt>
                <c:pt idx="172">
                  <c:v>7.2949999999999999</c:v>
                </c:pt>
                <c:pt idx="173">
                  <c:v>6.9589999999999996</c:v>
                </c:pt>
                <c:pt idx="174">
                  <c:v>6.7850000000000001</c:v>
                </c:pt>
                <c:pt idx="175">
                  <c:v>6.7720000000000002</c:v>
                </c:pt>
                <c:pt idx="176">
                  <c:v>6.73</c:v>
                </c:pt>
                <c:pt idx="180">
                  <c:v>6.9420000000000002</c:v>
                </c:pt>
                <c:pt idx="181">
                  <c:v>6.891</c:v>
                </c:pt>
                <c:pt idx="182">
                  <c:v>6.8529999999999998</c:v>
                </c:pt>
                <c:pt idx="189">
                  <c:v>4.0990000000000002</c:v>
                </c:pt>
              </c:numCache>
            </c:numRef>
          </c:xVal>
          <c:yVal>
            <c:numRef>
              <c:f>DO_corr!$U$4:$U$196</c:f>
              <c:numCache>
                <c:formatCode>0.00</c:formatCode>
                <c:ptCount val="193"/>
                <c:pt idx="0">
                  <c:v>6.24</c:v>
                </c:pt>
                <c:pt idx="1">
                  <c:v>6.43</c:v>
                </c:pt>
                <c:pt idx="2">
                  <c:v>6.21</c:v>
                </c:pt>
                <c:pt idx="3">
                  <c:v>6.35</c:v>
                </c:pt>
                <c:pt idx="4">
                  <c:v>6.29</c:v>
                </c:pt>
                <c:pt idx="5">
                  <c:v>7.19</c:v>
                </c:pt>
                <c:pt idx="9">
                  <c:v>6.6</c:v>
                </c:pt>
                <c:pt idx="10">
                  <c:v>6.91</c:v>
                </c:pt>
                <c:pt idx="11">
                  <c:v>6.54</c:v>
                </c:pt>
                <c:pt idx="15">
                  <c:v>7.16</c:v>
                </c:pt>
                <c:pt idx="16">
                  <c:v>7.03</c:v>
                </c:pt>
                <c:pt idx="17">
                  <c:v>6.68</c:v>
                </c:pt>
                <c:pt idx="18">
                  <c:v>6.16</c:v>
                </c:pt>
                <c:pt idx="19">
                  <c:v>9.59</c:v>
                </c:pt>
                <c:pt idx="20">
                  <c:v>6.36</c:v>
                </c:pt>
                <c:pt idx="21">
                  <c:v>8.2200000000000006</c:v>
                </c:pt>
                <c:pt idx="22">
                  <c:v>9.27</c:v>
                </c:pt>
                <c:pt idx="23">
                  <c:v>8.01</c:v>
                </c:pt>
                <c:pt idx="24">
                  <c:v>4.1399999999999997</c:v>
                </c:pt>
                <c:pt idx="25">
                  <c:v>5.36</c:v>
                </c:pt>
                <c:pt idx="26">
                  <c:v>5.59</c:v>
                </c:pt>
                <c:pt idx="30">
                  <c:v>6.33</c:v>
                </c:pt>
                <c:pt idx="31">
                  <c:v>7.17</c:v>
                </c:pt>
                <c:pt idx="32">
                  <c:v>6.47</c:v>
                </c:pt>
                <c:pt idx="36">
                  <c:v>7.68</c:v>
                </c:pt>
                <c:pt idx="37">
                  <c:v>7.53</c:v>
                </c:pt>
                <c:pt idx="38">
                  <c:v>6.92</c:v>
                </c:pt>
                <c:pt idx="42">
                  <c:v>6.64</c:v>
                </c:pt>
                <c:pt idx="43">
                  <c:v>6.84</c:v>
                </c:pt>
                <c:pt idx="44">
                  <c:v>6.39</c:v>
                </c:pt>
                <c:pt idx="48">
                  <c:v>6.48</c:v>
                </c:pt>
                <c:pt idx="49">
                  <c:v>6.33</c:v>
                </c:pt>
                <c:pt idx="50">
                  <c:v>6.94</c:v>
                </c:pt>
                <c:pt idx="54">
                  <c:v>4.6399999999999997</c:v>
                </c:pt>
                <c:pt idx="56">
                  <c:v>4.8499999999999996</c:v>
                </c:pt>
                <c:pt idx="57">
                  <c:v>6.34</c:v>
                </c:pt>
                <c:pt idx="59">
                  <c:v>6.25</c:v>
                </c:pt>
                <c:pt idx="60">
                  <c:v>6.56</c:v>
                </c:pt>
                <c:pt idx="61">
                  <c:v>5.93</c:v>
                </c:pt>
                <c:pt idx="62">
                  <c:v>6.01</c:v>
                </c:pt>
                <c:pt idx="66">
                  <c:v>6.28</c:v>
                </c:pt>
                <c:pt idx="67">
                  <c:v>6.36</c:v>
                </c:pt>
                <c:pt idx="68">
                  <c:v>6.17</c:v>
                </c:pt>
                <c:pt idx="78">
                  <c:v>14.02</c:v>
                </c:pt>
                <c:pt idx="79">
                  <c:v>12.27</c:v>
                </c:pt>
                <c:pt idx="80">
                  <c:v>10.74</c:v>
                </c:pt>
                <c:pt idx="81">
                  <c:v>3.93</c:v>
                </c:pt>
                <c:pt idx="82">
                  <c:v>3.56</c:v>
                </c:pt>
                <c:pt idx="83">
                  <c:v>3.9</c:v>
                </c:pt>
                <c:pt idx="84">
                  <c:v>4.49</c:v>
                </c:pt>
                <c:pt idx="86">
                  <c:v>3.88</c:v>
                </c:pt>
                <c:pt idx="87">
                  <c:v>6.41</c:v>
                </c:pt>
                <c:pt idx="88">
                  <c:v>6.43</c:v>
                </c:pt>
                <c:pt idx="89">
                  <c:v>6.02</c:v>
                </c:pt>
                <c:pt idx="96">
                  <c:v>6.44</c:v>
                </c:pt>
                <c:pt idx="97">
                  <c:v>6.56</c:v>
                </c:pt>
                <c:pt idx="98">
                  <c:v>6.77</c:v>
                </c:pt>
                <c:pt idx="102">
                  <c:v>6.58</c:v>
                </c:pt>
                <c:pt idx="103">
                  <c:v>6.09</c:v>
                </c:pt>
                <c:pt idx="104">
                  <c:v>5.81</c:v>
                </c:pt>
                <c:pt idx="105">
                  <c:v>6.34</c:v>
                </c:pt>
                <c:pt idx="106">
                  <c:v>6.6</c:v>
                </c:pt>
                <c:pt idx="107">
                  <c:v>5.76</c:v>
                </c:pt>
                <c:pt idx="111">
                  <c:v>6.62</c:v>
                </c:pt>
                <c:pt idx="112">
                  <c:v>7.08</c:v>
                </c:pt>
                <c:pt idx="113">
                  <c:v>6.62</c:v>
                </c:pt>
                <c:pt idx="117">
                  <c:v>7.75</c:v>
                </c:pt>
                <c:pt idx="118">
                  <c:v>7.54</c:v>
                </c:pt>
                <c:pt idx="119">
                  <c:v>6.84</c:v>
                </c:pt>
                <c:pt idx="123">
                  <c:v>7.93</c:v>
                </c:pt>
                <c:pt idx="124">
                  <c:v>6.3</c:v>
                </c:pt>
                <c:pt idx="125">
                  <c:v>6.49</c:v>
                </c:pt>
                <c:pt idx="129">
                  <c:v>9.4600000000000009</c:v>
                </c:pt>
                <c:pt idx="130">
                  <c:v>7.64</c:v>
                </c:pt>
                <c:pt idx="131">
                  <c:v>6.08</c:v>
                </c:pt>
                <c:pt idx="135">
                  <c:v>9.2899999999999991</c:v>
                </c:pt>
                <c:pt idx="136">
                  <c:v>8.0299999999999994</c:v>
                </c:pt>
                <c:pt idx="137">
                  <c:v>6.3</c:v>
                </c:pt>
                <c:pt idx="138">
                  <c:v>12.18</c:v>
                </c:pt>
                <c:pt idx="139">
                  <c:v>9.7200000000000006</c:v>
                </c:pt>
                <c:pt idx="140">
                  <c:v>7.56</c:v>
                </c:pt>
                <c:pt idx="141">
                  <c:v>9.0399999999999991</c:v>
                </c:pt>
                <c:pt idx="142">
                  <c:v>8.35</c:v>
                </c:pt>
                <c:pt idx="143">
                  <c:v>5.25</c:v>
                </c:pt>
                <c:pt idx="144">
                  <c:v>7.48</c:v>
                </c:pt>
                <c:pt idx="145">
                  <c:v>7.66</c:v>
                </c:pt>
                <c:pt idx="146">
                  <c:v>7.53</c:v>
                </c:pt>
                <c:pt idx="147">
                  <c:v>4.3899999999999997</c:v>
                </c:pt>
                <c:pt idx="148">
                  <c:v>3.9</c:v>
                </c:pt>
                <c:pt idx="149">
                  <c:v>3.76</c:v>
                </c:pt>
                <c:pt idx="150">
                  <c:v>5.98</c:v>
                </c:pt>
                <c:pt idx="152">
                  <c:v>6</c:v>
                </c:pt>
                <c:pt idx="153">
                  <c:v>6.72</c:v>
                </c:pt>
                <c:pt idx="154">
                  <c:v>6.52</c:v>
                </c:pt>
                <c:pt idx="155">
                  <c:v>5.67</c:v>
                </c:pt>
                <c:pt idx="156">
                  <c:v>6.29</c:v>
                </c:pt>
                <c:pt idx="157">
                  <c:v>6.08</c:v>
                </c:pt>
                <c:pt idx="158">
                  <c:v>6.01</c:v>
                </c:pt>
                <c:pt idx="159">
                  <c:v>6.11</c:v>
                </c:pt>
                <c:pt idx="160">
                  <c:v>4.75</c:v>
                </c:pt>
                <c:pt idx="161">
                  <c:v>5</c:v>
                </c:pt>
                <c:pt idx="162">
                  <c:v>9.2799999999999994</c:v>
                </c:pt>
                <c:pt idx="163">
                  <c:v>7.14</c:v>
                </c:pt>
                <c:pt idx="164">
                  <c:v>6.44</c:v>
                </c:pt>
                <c:pt idx="171">
                  <c:v>6.93</c:v>
                </c:pt>
                <c:pt idx="172">
                  <c:v>6.89</c:v>
                </c:pt>
                <c:pt idx="173">
                  <c:v>6.61</c:v>
                </c:pt>
                <c:pt idx="174">
                  <c:v>6.68</c:v>
                </c:pt>
                <c:pt idx="175">
                  <c:v>6.58</c:v>
                </c:pt>
                <c:pt idx="176">
                  <c:v>6.7</c:v>
                </c:pt>
                <c:pt idx="180">
                  <c:v>5.83</c:v>
                </c:pt>
                <c:pt idx="181">
                  <c:v>6.67</c:v>
                </c:pt>
                <c:pt idx="182">
                  <c:v>6.54</c:v>
                </c:pt>
                <c:pt idx="189">
                  <c:v>4.4400000000000004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AB-450A-ADBA-9CA6BA4A8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394567"/>
        <c:axId val="455518566"/>
      </c:scatterChart>
      <c:valAx>
        <c:axId val="17293945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455518566"/>
        <c:crosses val="autoZero"/>
        <c:crossBetween val="midCat"/>
      </c:valAx>
      <c:valAx>
        <c:axId val="455518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172939456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DO_corr!$T$4:$T$196</c:f>
              <c:numCache>
                <c:formatCode>0.00</c:formatCode>
                <c:ptCount val="193"/>
                <c:pt idx="0">
                  <c:v>5.9219999999999997</c:v>
                </c:pt>
                <c:pt idx="1">
                  <c:v>6.15</c:v>
                </c:pt>
                <c:pt idx="2">
                  <c:v>6.2380000000000004</c:v>
                </c:pt>
                <c:pt idx="3">
                  <c:v>6.5570000000000004</c:v>
                </c:pt>
                <c:pt idx="4">
                  <c:v>6.4820000000000002</c:v>
                </c:pt>
                <c:pt idx="5">
                  <c:v>6.4429999999999996</c:v>
                </c:pt>
                <c:pt idx="9">
                  <c:v>7.7069999999999999</c:v>
                </c:pt>
                <c:pt idx="10">
                  <c:v>7.1929999999999996</c:v>
                </c:pt>
                <c:pt idx="11">
                  <c:v>6.8230000000000004</c:v>
                </c:pt>
                <c:pt idx="15">
                  <c:v>8.5730000000000004</c:v>
                </c:pt>
                <c:pt idx="16">
                  <c:v>8.1300000000000008</c:v>
                </c:pt>
                <c:pt idx="17">
                  <c:v>5.9459999999999997</c:v>
                </c:pt>
                <c:pt idx="18">
                  <c:v>11.712</c:v>
                </c:pt>
                <c:pt idx="19">
                  <c:v>9.0169999999999995</c:v>
                </c:pt>
                <c:pt idx="20">
                  <c:v>5.431</c:v>
                </c:pt>
                <c:pt idx="21">
                  <c:v>9.9309999999999992</c:v>
                </c:pt>
                <c:pt idx="22">
                  <c:v>8.6760000000000002</c:v>
                </c:pt>
                <c:pt idx="23">
                  <c:v>5.2009999999999996</c:v>
                </c:pt>
                <c:pt idx="24">
                  <c:v>4.4950000000000001</c:v>
                </c:pt>
                <c:pt idx="25">
                  <c:v>4.2839999999999998</c:v>
                </c:pt>
                <c:pt idx="26">
                  <c:v>6.4669999999999996</c:v>
                </c:pt>
                <c:pt idx="30">
                  <c:v>9.2059999999999995</c:v>
                </c:pt>
                <c:pt idx="31">
                  <c:v>7.07</c:v>
                </c:pt>
                <c:pt idx="32">
                  <c:v>6.5350000000000001</c:v>
                </c:pt>
                <c:pt idx="36">
                  <c:v>8.4459999999999997</c:v>
                </c:pt>
                <c:pt idx="37">
                  <c:v>8.2739999999999991</c:v>
                </c:pt>
                <c:pt idx="38">
                  <c:v>6.5919999999999996</c:v>
                </c:pt>
                <c:pt idx="42">
                  <c:v>7.0279999999999996</c:v>
                </c:pt>
                <c:pt idx="43">
                  <c:v>6.9889999999999999</c:v>
                </c:pt>
                <c:pt idx="44">
                  <c:v>6.806</c:v>
                </c:pt>
                <c:pt idx="48">
                  <c:v>6.98</c:v>
                </c:pt>
                <c:pt idx="49">
                  <c:v>6.9690000000000003</c:v>
                </c:pt>
                <c:pt idx="50">
                  <c:v>6.7789999999999999</c:v>
                </c:pt>
                <c:pt idx="54">
                  <c:v>4.867</c:v>
                </c:pt>
                <c:pt idx="56">
                  <c:v>5.4349999999999996</c:v>
                </c:pt>
                <c:pt idx="57">
                  <c:v>7.0890000000000004</c:v>
                </c:pt>
                <c:pt idx="59">
                  <c:v>6.73</c:v>
                </c:pt>
                <c:pt idx="60">
                  <c:v>6.5069999999999997</c:v>
                </c:pt>
                <c:pt idx="61">
                  <c:v>6.3339999999999996</c:v>
                </c:pt>
                <c:pt idx="62">
                  <c:v>6.266</c:v>
                </c:pt>
                <c:pt idx="66">
                  <c:v>6.633</c:v>
                </c:pt>
                <c:pt idx="67">
                  <c:v>6.6369999999999996</c:v>
                </c:pt>
                <c:pt idx="68">
                  <c:v>6.609</c:v>
                </c:pt>
                <c:pt idx="78">
                  <c:v>16.074999999999999</c:v>
                </c:pt>
                <c:pt idx="79">
                  <c:v>10.413</c:v>
                </c:pt>
                <c:pt idx="80">
                  <c:v>5.2050000000000001</c:v>
                </c:pt>
                <c:pt idx="81">
                  <c:v>4.0609999999999999</c:v>
                </c:pt>
                <c:pt idx="82">
                  <c:v>2.5640000000000001</c:v>
                </c:pt>
                <c:pt idx="83">
                  <c:v>2.7229999999999999</c:v>
                </c:pt>
                <c:pt idx="84">
                  <c:v>4.1340000000000003</c:v>
                </c:pt>
                <c:pt idx="86">
                  <c:v>3.9790000000000001</c:v>
                </c:pt>
                <c:pt idx="87">
                  <c:v>6.8959999999999999</c:v>
                </c:pt>
                <c:pt idx="88">
                  <c:v>6.516</c:v>
                </c:pt>
                <c:pt idx="89">
                  <c:v>6.3410000000000002</c:v>
                </c:pt>
                <c:pt idx="96">
                  <c:v>7.3369999999999997</c:v>
                </c:pt>
                <c:pt idx="97">
                  <c:v>7.008</c:v>
                </c:pt>
                <c:pt idx="98">
                  <c:v>6.8449999999999998</c:v>
                </c:pt>
                <c:pt idx="102">
                  <c:v>5.9589999999999996</c:v>
                </c:pt>
                <c:pt idx="103">
                  <c:v>5.6909999999999998</c:v>
                </c:pt>
                <c:pt idx="104">
                  <c:v>4.8719999999999999</c:v>
                </c:pt>
                <c:pt idx="105">
                  <c:v>6.6109999999999998</c:v>
                </c:pt>
                <c:pt idx="106">
                  <c:v>6.4870000000000001</c:v>
                </c:pt>
                <c:pt idx="107">
                  <c:v>5.0709999999999997</c:v>
                </c:pt>
                <c:pt idx="111">
                  <c:v>7.0670000000000002</c:v>
                </c:pt>
                <c:pt idx="112">
                  <c:v>6.81</c:v>
                </c:pt>
                <c:pt idx="113">
                  <c:v>6.0780000000000003</c:v>
                </c:pt>
                <c:pt idx="117">
                  <c:v>8.14</c:v>
                </c:pt>
                <c:pt idx="118">
                  <c:v>7.0519999999999996</c:v>
                </c:pt>
                <c:pt idx="119">
                  <c:v>6.673</c:v>
                </c:pt>
                <c:pt idx="123">
                  <c:v>8.4269999999999996</c:v>
                </c:pt>
                <c:pt idx="124">
                  <c:v>6.5810000000000004</c:v>
                </c:pt>
                <c:pt idx="125">
                  <c:v>5.88</c:v>
                </c:pt>
                <c:pt idx="129">
                  <c:v>10.483000000000001</c:v>
                </c:pt>
                <c:pt idx="130">
                  <c:v>7.2270000000000003</c:v>
                </c:pt>
                <c:pt idx="131">
                  <c:v>6.27</c:v>
                </c:pt>
                <c:pt idx="135">
                  <c:v>9.5399999999999991</c:v>
                </c:pt>
                <c:pt idx="136">
                  <c:v>7.8239999999999998</c:v>
                </c:pt>
                <c:pt idx="137">
                  <c:v>5.3650000000000002</c:v>
                </c:pt>
                <c:pt idx="138">
                  <c:v>13.208</c:v>
                </c:pt>
                <c:pt idx="139">
                  <c:v>7.2110000000000003</c:v>
                </c:pt>
                <c:pt idx="140">
                  <c:v>5.54</c:v>
                </c:pt>
                <c:pt idx="141">
                  <c:v>9.4339999999999993</c:v>
                </c:pt>
                <c:pt idx="142">
                  <c:v>8.33</c:v>
                </c:pt>
                <c:pt idx="143">
                  <c:v>5.048</c:v>
                </c:pt>
                <c:pt idx="144">
                  <c:v>8.7050000000000001</c:v>
                </c:pt>
                <c:pt idx="145">
                  <c:v>8.3450000000000006</c:v>
                </c:pt>
                <c:pt idx="146">
                  <c:v>4.2830000000000004</c:v>
                </c:pt>
                <c:pt idx="147">
                  <c:v>4.0229999999999997</c:v>
                </c:pt>
                <c:pt idx="148">
                  <c:v>3.843</c:v>
                </c:pt>
                <c:pt idx="149">
                  <c:v>3.8370000000000002</c:v>
                </c:pt>
                <c:pt idx="150">
                  <c:v>7.21</c:v>
                </c:pt>
                <c:pt idx="152">
                  <c:v>5.6239999999999997</c:v>
                </c:pt>
                <c:pt idx="153">
                  <c:v>6.9880000000000004</c:v>
                </c:pt>
                <c:pt idx="154">
                  <c:v>7.2220000000000004</c:v>
                </c:pt>
                <c:pt idx="155">
                  <c:v>5.5229999999999997</c:v>
                </c:pt>
                <c:pt idx="156">
                  <c:v>6.4550000000000001</c:v>
                </c:pt>
                <c:pt idx="157">
                  <c:v>5.4180000000000001</c:v>
                </c:pt>
                <c:pt idx="158">
                  <c:v>4.88</c:v>
                </c:pt>
                <c:pt idx="159">
                  <c:v>6.6109999999999998</c:v>
                </c:pt>
                <c:pt idx="160">
                  <c:v>5.6989999999999998</c:v>
                </c:pt>
                <c:pt idx="161">
                  <c:v>4.57</c:v>
                </c:pt>
                <c:pt idx="162">
                  <c:v>9.9320000000000004</c:v>
                </c:pt>
                <c:pt idx="163">
                  <c:v>6.742</c:v>
                </c:pt>
                <c:pt idx="164">
                  <c:v>6.51</c:v>
                </c:pt>
                <c:pt idx="171">
                  <c:v>7.3479999999999999</c:v>
                </c:pt>
                <c:pt idx="172">
                  <c:v>7.2949999999999999</c:v>
                </c:pt>
                <c:pt idx="173">
                  <c:v>6.9589999999999996</c:v>
                </c:pt>
                <c:pt idx="174">
                  <c:v>6.7850000000000001</c:v>
                </c:pt>
                <c:pt idx="175">
                  <c:v>6.7720000000000002</c:v>
                </c:pt>
                <c:pt idx="176">
                  <c:v>6.73</c:v>
                </c:pt>
                <c:pt idx="180">
                  <c:v>6.9420000000000002</c:v>
                </c:pt>
                <c:pt idx="181">
                  <c:v>6.891</c:v>
                </c:pt>
                <c:pt idx="182">
                  <c:v>6.8529999999999998</c:v>
                </c:pt>
                <c:pt idx="189">
                  <c:v>4.0990000000000002</c:v>
                </c:pt>
              </c:numCache>
            </c:numRef>
          </c:xVal>
          <c:yVal>
            <c:numRef>
              <c:f>DO_corr!$U$4:$U$196</c:f>
              <c:numCache>
                <c:formatCode>0.00</c:formatCode>
                <c:ptCount val="193"/>
                <c:pt idx="0">
                  <c:v>6.24</c:v>
                </c:pt>
                <c:pt idx="1">
                  <c:v>6.43</c:v>
                </c:pt>
                <c:pt idx="2">
                  <c:v>6.21</c:v>
                </c:pt>
                <c:pt idx="3">
                  <c:v>6.35</c:v>
                </c:pt>
                <c:pt idx="4">
                  <c:v>6.29</c:v>
                </c:pt>
                <c:pt idx="5">
                  <c:v>7.19</c:v>
                </c:pt>
                <c:pt idx="9">
                  <c:v>6.6</c:v>
                </c:pt>
                <c:pt idx="10">
                  <c:v>6.91</c:v>
                </c:pt>
                <c:pt idx="11">
                  <c:v>6.54</c:v>
                </c:pt>
                <c:pt idx="15">
                  <c:v>7.16</c:v>
                </c:pt>
                <c:pt idx="16">
                  <c:v>7.03</c:v>
                </c:pt>
                <c:pt idx="17">
                  <c:v>6.68</c:v>
                </c:pt>
                <c:pt idx="18">
                  <c:v>6.16</c:v>
                </c:pt>
                <c:pt idx="19">
                  <c:v>9.59</c:v>
                </c:pt>
                <c:pt idx="20">
                  <c:v>6.36</c:v>
                </c:pt>
                <c:pt idx="21">
                  <c:v>8.2200000000000006</c:v>
                </c:pt>
                <c:pt idx="22">
                  <c:v>9.27</c:v>
                </c:pt>
                <c:pt idx="23">
                  <c:v>8.01</c:v>
                </c:pt>
                <c:pt idx="24">
                  <c:v>4.1399999999999997</c:v>
                </c:pt>
                <c:pt idx="25">
                  <c:v>5.36</c:v>
                </c:pt>
                <c:pt idx="26">
                  <c:v>5.59</c:v>
                </c:pt>
                <c:pt idx="30">
                  <c:v>6.33</c:v>
                </c:pt>
                <c:pt idx="31">
                  <c:v>7.17</c:v>
                </c:pt>
                <c:pt idx="32">
                  <c:v>6.47</c:v>
                </c:pt>
                <c:pt idx="36">
                  <c:v>7.68</c:v>
                </c:pt>
                <c:pt idx="37">
                  <c:v>7.53</c:v>
                </c:pt>
                <c:pt idx="38">
                  <c:v>6.92</c:v>
                </c:pt>
                <c:pt idx="42">
                  <c:v>6.64</c:v>
                </c:pt>
                <c:pt idx="43">
                  <c:v>6.84</c:v>
                </c:pt>
                <c:pt idx="44">
                  <c:v>6.39</c:v>
                </c:pt>
                <c:pt idx="48">
                  <c:v>6.48</c:v>
                </c:pt>
                <c:pt idx="49">
                  <c:v>6.33</c:v>
                </c:pt>
                <c:pt idx="50">
                  <c:v>6.94</c:v>
                </c:pt>
                <c:pt idx="54">
                  <c:v>4.6399999999999997</c:v>
                </c:pt>
                <c:pt idx="56">
                  <c:v>4.8499999999999996</c:v>
                </c:pt>
                <c:pt idx="57">
                  <c:v>6.34</c:v>
                </c:pt>
                <c:pt idx="59">
                  <c:v>6.25</c:v>
                </c:pt>
                <c:pt idx="60">
                  <c:v>6.56</c:v>
                </c:pt>
                <c:pt idx="61">
                  <c:v>5.93</c:v>
                </c:pt>
                <c:pt idx="62">
                  <c:v>6.01</c:v>
                </c:pt>
                <c:pt idx="66">
                  <c:v>6.28</c:v>
                </c:pt>
                <c:pt idx="67">
                  <c:v>6.36</c:v>
                </c:pt>
                <c:pt idx="68">
                  <c:v>6.17</c:v>
                </c:pt>
                <c:pt idx="78">
                  <c:v>14.02</c:v>
                </c:pt>
                <c:pt idx="79">
                  <c:v>12.27</c:v>
                </c:pt>
                <c:pt idx="80">
                  <c:v>10.74</c:v>
                </c:pt>
                <c:pt idx="81">
                  <c:v>3.93</c:v>
                </c:pt>
                <c:pt idx="82">
                  <c:v>3.56</c:v>
                </c:pt>
                <c:pt idx="83">
                  <c:v>3.9</c:v>
                </c:pt>
                <c:pt idx="84">
                  <c:v>4.49</c:v>
                </c:pt>
                <c:pt idx="86">
                  <c:v>3.88</c:v>
                </c:pt>
                <c:pt idx="87">
                  <c:v>6.41</c:v>
                </c:pt>
                <c:pt idx="88">
                  <c:v>6.43</c:v>
                </c:pt>
                <c:pt idx="89">
                  <c:v>6.02</c:v>
                </c:pt>
                <c:pt idx="96">
                  <c:v>6.44</c:v>
                </c:pt>
                <c:pt idx="97">
                  <c:v>6.56</c:v>
                </c:pt>
                <c:pt idx="98">
                  <c:v>6.77</c:v>
                </c:pt>
                <c:pt idx="102">
                  <c:v>6.58</c:v>
                </c:pt>
                <c:pt idx="103">
                  <c:v>6.09</c:v>
                </c:pt>
                <c:pt idx="104">
                  <c:v>5.81</c:v>
                </c:pt>
                <c:pt idx="105">
                  <c:v>6.34</c:v>
                </c:pt>
                <c:pt idx="106">
                  <c:v>6.6</c:v>
                </c:pt>
                <c:pt idx="107">
                  <c:v>5.76</c:v>
                </c:pt>
                <c:pt idx="111">
                  <c:v>6.62</c:v>
                </c:pt>
                <c:pt idx="112">
                  <c:v>7.08</c:v>
                </c:pt>
                <c:pt idx="113">
                  <c:v>6.62</c:v>
                </c:pt>
                <c:pt idx="117">
                  <c:v>7.75</c:v>
                </c:pt>
                <c:pt idx="118">
                  <c:v>7.54</c:v>
                </c:pt>
                <c:pt idx="119">
                  <c:v>6.84</c:v>
                </c:pt>
                <c:pt idx="123">
                  <c:v>7.93</c:v>
                </c:pt>
                <c:pt idx="124">
                  <c:v>6.3</c:v>
                </c:pt>
                <c:pt idx="125">
                  <c:v>6.49</c:v>
                </c:pt>
                <c:pt idx="129">
                  <c:v>9.4600000000000009</c:v>
                </c:pt>
                <c:pt idx="130">
                  <c:v>7.64</c:v>
                </c:pt>
                <c:pt idx="131">
                  <c:v>6.08</c:v>
                </c:pt>
                <c:pt idx="135">
                  <c:v>9.2899999999999991</c:v>
                </c:pt>
                <c:pt idx="136">
                  <c:v>8.0299999999999994</c:v>
                </c:pt>
                <c:pt idx="137">
                  <c:v>6.3</c:v>
                </c:pt>
                <c:pt idx="138">
                  <c:v>12.18</c:v>
                </c:pt>
                <c:pt idx="139">
                  <c:v>9.7200000000000006</c:v>
                </c:pt>
                <c:pt idx="140">
                  <c:v>7.56</c:v>
                </c:pt>
                <c:pt idx="141">
                  <c:v>9.0399999999999991</c:v>
                </c:pt>
                <c:pt idx="142">
                  <c:v>8.35</c:v>
                </c:pt>
                <c:pt idx="143">
                  <c:v>5.25</c:v>
                </c:pt>
                <c:pt idx="144">
                  <c:v>7.48</c:v>
                </c:pt>
                <c:pt idx="145">
                  <c:v>7.66</c:v>
                </c:pt>
                <c:pt idx="146">
                  <c:v>7.53</c:v>
                </c:pt>
                <c:pt idx="147">
                  <c:v>4.3899999999999997</c:v>
                </c:pt>
                <c:pt idx="148">
                  <c:v>3.9</c:v>
                </c:pt>
                <c:pt idx="149">
                  <c:v>3.76</c:v>
                </c:pt>
                <c:pt idx="150">
                  <c:v>5.98</c:v>
                </c:pt>
                <c:pt idx="152">
                  <c:v>6</c:v>
                </c:pt>
                <c:pt idx="153">
                  <c:v>6.72</c:v>
                </c:pt>
                <c:pt idx="154">
                  <c:v>6.52</c:v>
                </c:pt>
                <c:pt idx="155">
                  <c:v>5.67</c:v>
                </c:pt>
                <c:pt idx="156">
                  <c:v>6.29</c:v>
                </c:pt>
                <c:pt idx="157">
                  <c:v>6.08</c:v>
                </c:pt>
                <c:pt idx="158">
                  <c:v>6.01</c:v>
                </c:pt>
                <c:pt idx="159">
                  <c:v>6.11</c:v>
                </c:pt>
                <c:pt idx="160">
                  <c:v>4.75</c:v>
                </c:pt>
                <c:pt idx="161">
                  <c:v>5</c:v>
                </c:pt>
                <c:pt idx="162">
                  <c:v>9.2799999999999994</c:v>
                </c:pt>
                <c:pt idx="163">
                  <c:v>7.14</c:v>
                </c:pt>
                <c:pt idx="164">
                  <c:v>6.44</c:v>
                </c:pt>
                <c:pt idx="171">
                  <c:v>6.93</c:v>
                </c:pt>
                <c:pt idx="172">
                  <c:v>6.89</c:v>
                </c:pt>
                <c:pt idx="173">
                  <c:v>6.61</c:v>
                </c:pt>
                <c:pt idx="174">
                  <c:v>6.68</c:v>
                </c:pt>
                <c:pt idx="175">
                  <c:v>6.58</c:v>
                </c:pt>
                <c:pt idx="176">
                  <c:v>6.7</c:v>
                </c:pt>
                <c:pt idx="180">
                  <c:v>5.83</c:v>
                </c:pt>
                <c:pt idx="181">
                  <c:v>6.67</c:v>
                </c:pt>
                <c:pt idx="182">
                  <c:v>6.54</c:v>
                </c:pt>
                <c:pt idx="189">
                  <c:v>4.4400000000000004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7F-4C50-A1D9-466E71E2E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096207"/>
        <c:axId val="1350591468"/>
      </c:scatterChart>
      <c:valAx>
        <c:axId val="325096207"/>
        <c:scaling>
          <c:orientation val="minMax"/>
          <c:max val="12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i="0">
                    <a:solidFill>
                      <a:srgbClr val="000000"/>
                    </a:solidFill>
                    <a:latin typeface="Times New Roman"/>
                  </a:rPr>
                  <a:t>Optical sensor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1350591468"/>
        <c:crosses val="autoZero"/>
        <c:crossBetween val="midCat"/>
      </c:valAx>
      <c:valAx>
        <c:axId val="1350591468"/>
        <c:scaling>
          <c:orientation val="minMax"/>
          <c:max val="1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i="0">
                    <a:solidFill>
                      <a:srgbClr val="000000"/>
                    </a:solidFill>
                    <a:latin typeface="Times New Roman"/>
                  </a:rPr>
                  <a:t>Winkler method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32509620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9525</xdr:colOff>
      <xdr:row>2</xdr:row>
      <xdr:rowOff>285750</xdr:rowOff>
    </xdr:from>
    <xdr:ext cx="3886200" cy="3409950"/>
    <xdr:graphicFrame macro="">
      <xdr:nvGraphicFramePr>
        <xdr:cNvPr id="2070038762" name="Chart 1">
          <a:extLst>
            <a:ext uri="{FF2B5EF4-FFF2-40B4-BE49-F238E27FC236}">
              <a16:creationId xmlns:a16="http://schemas.microsoft.com/office/drawing/2014/main" id="{00000000-0008-0000-0200-0000EA486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33</xdr:col>
      <xdr:colOff>19050</xdr:colOff>
      <xdr:row>23</xdr:row>
      <xdr:rowOff>28575</xdr:rowOff>
    </xdr:from>
    <xdr:ext cx="3886200" cy="3600450"/>
    <xdr:graphicFrame macro="">
      <xdr:nvGraphicFramePr>
        <xdr:cNvPr id="1107575387" name="Chart 2">
          <a:extLst>
            <a:ext uri="{FF2B5EF4-FFF2-40B4-BE49-F238E27FC236}">
              <a16:creationId xmlns:a16="http://schemas.microsoft.com/office/drawing/2014/main" id="{00000000-0008-0000-0200-00005B420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193"/>
  <sheetViews>
    <sheetView tabSelected="1" zoomScale="75" zoomScaleNormal="75" workbookViewId="0">
      <pane xSplit="11" ySplit="3" topLeftCell="AG181" activePane="bottomRight" state="frozen"/>
      <selection pane="topRight" activeCell="L1" sqref="L1"/>
      <selection pane="bottomLeft" activeCell="A4" sqref="A4"/>
      <selection pane="bottomRight" activeCell="AK184" sqref="AK184"/>
    </sheetView>
  </sheetViews>
  <sheetFormatPr defaultColWidth="14.3984375" defaultRowHeight="15" customHeight="1" x14ac:dyDescent="0.45"/>
  <cols>
    <col min="1" max="5" width="8.73046875" style="115" customWidth="1"/>
    <col min="6" max="6" width="11.86328125" style="115" customWidth="1"/>
    <col min="7" max="7" width="13.265625" style="115" customWidth="1"/>
    <col min="8" max="11" width="8.73046875" style="115" customWidth="1"/>
    <col min="12" max="12" width="12.73046875" style="115" customWidth="1"/>
    <col min="13" max="13" width="13.265625" style="115" customWidth="1"/>
    <col min="14" max="14" width="8.86328125" style="115" customWidth="1"/>
    <col min="15" max="16" width="8.73046875" style="115" customWidth="1"/>
    <col min="17" max="17" width="10" style="115" customWidth="1"/>
    <col min="18" max="24" width="8.73046875" style="115" customWidth="1"/>
    <col min="25" max="25" width="11.53125" style="115" customWidth="1"/>
    <col min="26" max="29" width="8.73046875" style="115" customWidth="1"/>
    <col min="30" max="30" width="12.1328125" style="115" customWidth="1"/>
    <col min="31" max="31" width="15.73046875" style="115" customWidth="1"/>
    <col min="32" max="32" width="27.53125" style="115" customWidth="1"/>
    <col min="33" max="33" width="12.265625" style="145" customWidth="1"/>
    <col min="34" max="34" width="19.1328125" style="119" customWidth="1"/>
    <col min="35" max="35" width="12.53125" style="210" customWidth="1"/>
    <col min="36" max="42" width="12.53125" style="115" customWidth="1"/>
    <col min="43" max="43" width="9.53125" style="115" customWidth="1"/>
    <col min="44" max="46" width="8.53125" style="115" customWidth="1"/>
    <col min="47" max="48" width="9" style="115" customWidth="1"/>
    <col min="49" max="50" width="8.53125" style="115" customWidth="1"/>
    <col min="51" max="51" width="74.73046875" style="115" customWidth="1"/>
    <col min="52" max="16384" width="14.3984375" style="115"/>
  </cols>
  <sheetData>
    <row r="1" spans="1:51" customFormat="1" ht="14.25" customHeight="1" thickBot="1" x14ac:dyDescent="0.5">
      <c r="A1" s="163" t="s">
        <v>0</v>
      </c>
      <c r="B1" s="164"/>
      <c r="C1" s="164"/>
      <c r="D1" s="156"/>
      <c r="E1" s="1"/>
      <c r="F1" s="165" t="s">
        <v>1</v>
      </c>
      <c r="G1" s="166"/>
      <c r="H1" s="2"/>
      <c r="I1" s="3"/>
      <c r="J1" s="3"/>
      <c r="K1" s="2"/>
      <c r="L1" s="167" t="s">
        <v>2</v>
      </c>
      <c r="M1" s="168"/>
      <c r="N1" s="169" t="s">
        <v>3</v>
      </c>
      <c r="O1" s="164"/>
      <c r="P1" s="164"/>
      <c r="Q1" s="164"/>
      <c r="R1" s="164"/>
      <c r="S1" s="164"/>
      <c r="T1" s="168"/>
      <c r="U1" s="4"/>
      <c r="V1" s="5"/>
      <c r="W1" s="6">
        <f>DO_corr!Y2</f>
        <v>0.78632836279643581</v>
      </c>
      <c r="X1" s="6"/>
      <c r="Y1" s="7">
        <f>DO_corr!Z2</f>
        <v>1.28892918882394</v>
      </c>
      <c r="Z1" s="8"/>
      <c r="AA1" s="182"/>
      <c r="AB1" s="183"/>
      <c r="AC1" s="9"/>
      <c r="AD1" s="9"/>
      <c r="AE1" s="10"/>
      <c r="AF1" s="65"/>
      <c r="AG1" s="175" t="s">
        <v>241</v>
      </c>
      <c r="AH1" s="176"/>
      <c r="AI1" s="176"/>
      <c r="AJ1" s="176"/>
      <c r="AK1" s="176"/>
      <c r="AL1" s="176"/>
      <c r="AM1" s="176"/>
      <c r="AN1" s="176"/>
      <c r="AO1" s="176"/>
      <c r="AP1" s="177"/>
      <c r="AQ1" s="157" t="s">
        <v>4</v>
      </c>
      <c r="AR1" s="158"/>
      <c r="AS1" s="158"/>
      <c r="AT1" s="158"/>
      <c r="AU1" s="158"/>
      <c r="AV1" s="159"/>
      <c r="AW1" s="11"/>
      <c r="AX1" s="12"/>
      <c r="AY1" s="13"/>
    </row>
    <row r="2" spans="1:51" customFormat="1" ht="15" customHeight="1" thickBot="1" x14ac:dyDescent="0.5">
      <c r="A2" s="170" t="s">
        <v>5</v>
      </c>
      <c r="B2" s="188" t="s">
        <v>6</v>
      </c>
      <c r="C2" s="188" t="s">
        <v>7</v>
      </c>
      <c r="D2" s="190" t="s">
        <v>8</v>
      </c>
      <c r="E2" s="192" t="s">
        <v>9</v>
      </c>
      <c r="F2" s="194" t="s">
        <v>10</v>
      </c>
      <c r="G2" s="195" t="s">
        <v>11</v>
      </c>
      <c r="H2" s="197" t="s">
        <v>12</v>
      </c>
      <c r="I2" s="188" t="s">
        <v>13</v>
      </c>
      <c r="J2" s="188" t="s">
        <v>14</v>
      </c>
      <c r="K2" s="197" t="s">
        <v>15</v>
      </c>
      <c r="L2" s="198" t="s">
        <v>16</v>
      </c>
      <c r="M2" s="199" t="s">
        <v>17</v>
      </c>
      <c r="N2" s="179" t="s">
        <v>18</v>
      </c>
      <c r="O2" s="181" t="s">
        <v>19</v>
      </c>
      <c r="P2" s="173"/>
      <c r="Q2" s="174"/>
      <c r="R2" s="200" t="s">
        <v>20</v>
      </c>
      <c r="S2" s="156"/>
      <c r="T2" s="201" t="s">
        <v>21</v>
      </c>
      <c r="U2" s="173"/>
      <c r="V2" s="174"/>
      <c r="W2" s="172" t="s">
        <v>22</v>
      </c>
      <c r="X2" s="173"/>
      <c r="Y2" s="173"/>
      <c r="Z2" s="174"/>
      <c r="AA2" s="184" t="s">
        <v>23</v>
      </c>
      <c r="AB2" s="152" t="s">
        <v>24</v>
      </c>
      <c r="AC2" s="153"/>
      <c r="AD2" s="154"/>
      <c r="AE2" s="152" t="s">
        <v>25</v>
      </c>
      <c r="AF2" s="154"/>
      <c r="AG2" s="178" t="s">
        <v>229</v>
      </c>
      <c r="AH2" s="177"/>
      <c r="AI2" s="178" t="s">
        <v>230</v>
      </c>
      <c r="AJ2" s="176"/>
      <c r="AK2" s="176"/>
      <c r="AL2" s="176"/>
      <c r="AM2" s="176"/>
      <c r="AN2" s="176"/>
      <c r="AO2" s="176"/>
      <c r="AP2" s="177"/>
      <c r="AQ2" s="160" t="s">
        <v>26</v>
      </c>
      <c r="AR2" s="161"/>
      <c r="AS2" s="161"/>
      <c r="AT2" s="161"/>
      <c r="AU2" s="161"/>
      <c r="AV2" s="162"/>
      <c r="AW2" s="155" t="s">
        <v>27</v>
      </c>
      <c r="AX2" s="156"/>
      <c r="AY2" s="186" t="s">
        <v>28</v>
      </c>
    </row>
    <row r="3" spans="1:51" customFormat="1" ht="66" customHeight="1" thickBot="1" x14ac:dyDescent="0.5">
      <c r="A3" s="171"/>
      <c r="B3" s="189"/>
      <c r="C3" s="189"/>
      <c r="D3" s="191"/>
      <c r="E3" s="193"/>
      <c r="F3" s="171"/>
      <c r="G3" s="196"/>
      <c r="H3" s="189"/>
      <c r="I3" s="189"/>
      <c r="J3" s="189"/>
      <c r="K3" s="189"/>
      <c r="L3" s="171"/>
      <c r="M3" s="189"/>
      <c r="N3" s="180"/>
      <c r="O3" s="14" t="s">
        <v>29</v>
      </c>
      <c r="P3" s="15" t="s">
        <v>30</v>
      </c>
      <c r="Q3" s="15" t="s">
        <v>31</v>
      </c>
      <c r="R3" s="16" t="s">
        <v>29</v>
      </c>
      <c r="S3" s="14" t="s">
        <v>30</v>
      </c>
      <c r="T3" s="14" t="s">
        <v>29</v>
      </c>
      <c r="U3" s="14" t="s">
        <v>30</v>
      </c>
      <c r="V3" s="14" t="s">
        <v>32</v>
      </c>
      <c r="W3" s="17" t="s">
        <v>33</v>
      </c>
      <c r="X3" s="17" t="s">
        <v>34</v>
      </c>
      <c r="Y3" s="17" t="s">
        <v>31</v>
      </c>
      <c r="Z3" s="18" t="s">
        <v>35</v>
      </c>
      <c r="AA3" s="185"/>
      <c r="AB3" s="19" t="s">
        <v>36</v>
      </c>
      <c r="AC3" s="19" t="s">
        <v>30</v>
      </c>
      <c r="AD3" s="19" t="s">
        <v>31</v>
      </c>
      <c r="AE3" s="14" t="s">
        <v>37</v>
      </c>
      <c r="AF3" s="15" t="s">
        <v>38</v>
      </c>
      <c r="AG3" s="142" t="s">
        <v>231</v>
      </c>
      <c r="AH3" s="118" t="s">
        <v>232</v>
      </c>
      <c r="AI3" s="209" t="s">
        <v>233</v>
      </c>
      <c r="AJ3" s="105" t="s">
        <v>234</v>
      </c>
      <c r="AK3" s="105" t="s">
        <v>235</v>
      </c>
      <c r="AL3" s="105" t="s">
        <v>236</v>
      </c>
      <c r="AM3" s="105" t="s">
        <v>237</v>
      </c>
      <c r="AN3" s="106" t="s">
        <v>238</v>
      </c>
      <c r="AO3" s="106" t="s">
        <v>239</v>
      </c>
      <c r="AP3" s="107" t="s">
        <v>240</v>
      </c>
      <c r="AQ3" s="20" t="s">
        <v>39</v>
      </c>
      <c r="AR3" s="21" t="s">
        <v>40</v>
      </c>
      <c r="AS3" s="21" t="s">
        <v>41</v>
      </c>
      <c r="AT3" s="21" t="s">
        <v>42</v>
      </c>
      <c r="AU3" s="22" t="s">
        <v>43</v>
      </c>
      <c r="AV3" s="23" t="s">
        <v>44</v>
      </c>
      <c r="AW3" s="24" t="s">
        <v>45</v>
      </c>
      <c r="AX3" s="25" t="s">
        <v>46</v>
      </c>
      <c r="AY3" s="187"/>
    </row>
    <row r="4" spans="1:51" customFormat="1" ht="14.25" customHeight="1" x14ac:dyDescent="0.45">
      <c r="A4" s="26">
        <v>2024</v>
      </c>
      <c r="B4" s="27">
        <v>11</v>
      </c>
      <c r="C4" s="27">
        <v>26</v>
      </c>
      <c r="D4" s="28">
        <v>0.36458333333333331</v>
      </c>
      <c r="E4" s="29">
        <v>48</v>
      </c>
      <c r="F4" s="30">
        <v>13.135490000000001</v>
      </c>
      <c r="G4" s="31">
        <v>100.79522</v>
      </c>
      <c r="H4" s="32">
        <v>23.2</v>
      </c>
      <c r="I4" s="27">
        <v>3</v>
      </c>
      <c r="J4" s="33" t="s">
        <v>47</v>
      </c>
      <c r="K4" s="32">
        <v>1</v>
      </c>
      <c r="L4" s="34">
        <v>8</v>
      </c>
      <c r="M4" s="35" t="s">
        <v>48</v>
      </c>
      <c r="N4" s="36">
        <v>4.0999999999999996</v>
      </c>
      <c r="O4" s="37">
        <v>29.4</v>
      </c>
      <c r="P4" s="38">
        <v>29.867999999999999</v>
      </c>
      <c r="Q4" s="39">
        <v>29.88</v>
      </c>
      <c r="R4" s="38">
        <v>8.09</v>
      </c>
      <c r="S4" s="38">
        <v>8.1999999999999993</v>
      </c>
      <c r="T4" s="37">
        <v>28.8</v>
      </c>
      <c r="U4" s="38">
        <v>31.687999999999999</v>
      </c>
      <c r="V4" s="40">
        <v>31.63</v>
      </c>
      <c r="W4" s="38">
        <v>6.24</v>
      </c>
      <c r="X4" s="38">
        <v>5.9219999999999997</v>
      </c>
      <c r="Y4" s="38">
        <v>6.08</v>
      </c>
      <c r="Z4" s="38">
        <f t="shared" ref="Z4:Z31" si="0">Y4*$W$1+$Y$1</f>
        <v>6.0698056346262694</v>
      </c>
      <c r="AA4" s="41">
        <v>9.4499999999999993</v>
      </c>
      <c r="AB4" s="42">
        <v>1.0227999999999999</v>
      </c>
      <c r="AC4" s="42">
        <v>0.67</v>
      </c>
      <c r="AD4" s="43">
        <v>0.68</v>
      </c>
      <c r="AE4" s="44" t="s">
        <v>49</v>
      </c>
      <c r="AF4" s="120"/>
      <c r="AG4" s="143"/>
      <c r="AH4" s="117"/>
      <c r="AI4" s="113"/>
      <c r="AJ4" s="147"/>
      <c r="AK4" s="147"/>
      <c r="AL4" s="147"/>
      <c r="AM4" s="147"/>
      <c r="AN4" s="112"/>
      <c r="AO4" s="112"/>
      <c r="AP4" s="108"/>
      <c r="AQ4" s="45">
        <v>9.4600000000000004E-2</v>
      </c>
      <c r="AR4" s="46">
        <v>19.617899999999999</v>
      </c>
      <c r="AS4" s="46">
        <v>0.1181</v>
      </c>
      <c r="AT4" s="46">
        <v>16.9923</v>
      </c>
      <c r="AU4" s="46">
        <v>1.4994000000000001</v>
      </c>
      <c r="AV4" s="47">
        <v>204.46799999999999</v>
      </c>
      <c r="AW4" s="46"/>
      <c r="AX4" s="46"/>
      <c r="AY4" s="48" t="s">
        <v>50</v>
      </c>
    </row>
    <row r="5" spans="1:51" customFormat="1" ht="14.25" customHeight="1" x14ac:dyDescent="0.45">
      <c r="A5" s="26">
        <f t="shared" ref="A5:I5" si="1">A4</f>
        <v>2024</v>
      </c>
      <c r="B5" s="27">
        <f t="shared" si="1"/>
        <v>11</v>
      </c>
      <c r="C5" s="27">
        <f t="shared" si="1"/>
        <v>26</v>
      </c>
      <c r="D5" s="28">
        <f t="shared" si="1"/>
        <v>0.36458333333333331</v>
      </c>
      <c r="E5" s="29">
        <f t="shared" si="1"/>
        <v>48</v>
      </c>
      <c r="F5" s="49">
        <f t="shared" si="1"/>
        <v>13.135490000000001</v>
      </c>
      <c r="G5" s="31">
        <f t="shared" si="1"/>
        <v>100.79522</v>
      </c>
      <c r="H5" s="32">
        <f t="shared" si="1"/>
        <v>23.2</v>
      </c>
      <c r="I5" s="27">
        <f t="shared" si="1"/>
        <v>3</v>
      </c>
      <c r="J5" s="33" t="s">
        <v>51</v>
      </c>
      <c r="K5" s="32">
        <v>11.6</v>
      </c>
      <c r="L5" s="34"/>
      <c r="M5" s="35"/>
      <c r="N5" s="50">
        <f t="shared" ref="N5:N6" si="2">N4</f>
        <v>4.0999999999999996</v>
      </c>
      <c r="O5" s="37">
        <v>29.2</v>
      </c>
      <c r="P5" s="38">
        <v>29.872</v>
      </c>
      <c r="Q5" s="51">
        <v>29.88</v>
      </c>
      <c r="R5" s="38">
        <v>8.09</v>
      </c>
      <c r="S5" s="38">
        <v>8.1999999999999993</v>
      </c>
      <c r="T5" s="37">
        <v>28.9</v>
      </c>
      <c r="U5" s="38">
        <v>31.934000000000001</v>
      </c>
      <c r="V5" s="52">
        <v>31.69</v>
      </c>
      <c r="W5" s="38">
        <v>6.43</v>
      </c>
      <c r="X5" s="38">
        <v>6.15</v>
      </c>
      <c r="Y5" s="38">
        <v>6.09</v>
      </c>
      <c r="Z5" s="38">
        <f t="shared" si="0"/>
        <v>6.0776689182542336</v>
      </c>
      <c r="AA5" s="41">
        <v>4.45</v>
      </c>
      <c r="AB5" s="53"/>
      <c r="AC5" s="42">
        <v>0.63</v>
      </c>
      <c r="AD5" s="43">
        <v>0.88</v>
      </c>
      <c r="AF5" s="115"/>
      <c r="AG5" s="143"/>
      <c r="AH5" s="117"/>
      <c r="AI5" s="113"/>
      <c r="AJ5" s="147"/>
      <c r="AK5" s="147"/>
      <c r="AL5" s="147"/>
      <c r="AM5" s="147"/>
      <c r="AN5" s="112"/>
      <c r="AO5" s="112"/>
      <c r="AP5" s="108"/>
      <c r="AQ5" s="45">
        <v>9.4600000000000004E-2</v>
      </c>
      <c r="AR5" s="46">
        <v>12.5192</v>
      </c>
      <c r="AS5" s="46">
        <v>0.14099999999999999</v>
      </c>
      <c r="AT5" s="46">
        <v>6.5632000000000001</v>
      </c>
      <c r="AU5" s="46">
        <v>1.3416999999999999</v>
      </c>
      <c r="AV5" s="47">
        <v>107.15470000000001</v>
      </c>
      <c r="AW5" s="46"/>
      <c r="AX5" s="46"/>
      <c r="AY5" s="48"/>
    </row>
    <row r="6" spans="1:51" customFormat="1" ht="14.25" customHeight="1" x14ac:dyDescent="0.45">
      <c r="A6" s="26">
        <f t="shared" ref="A6:I6" si="3">A5</f>
        <v>2024</v>
      </c>
      <c r="B6" s="27">
        <f t="shared" si="3"/>
        <v>11</v>
      </c>
      <c r="C6" s="27">
        <f t="shared" si="3"/>
        <v>26</v>
      </c>
      <c r="D6" s="28">
        <f t="shared" si="3"/>
        <v>0.36458333333333331</v>
      </c>
      <c r="E6" s="29">
        <f t="shared" si="3"/>
        <v>48</v>
      </c>
      <c r="F6" s="49">
        <f t="shared" si="3"/>
        <v>13.135490000000001</v>
      </c>
      <c r="G6" s="31">
        <f t="shared" si="3"/>
        <v>100.79522</v>
      </c>
      <c r="H6" s="32">
        <f t="shared" si="3"/>
        <v>23.2</v>
      </c>
      <c r="I6" s="27">
        <f t="shared" si="3"/>
        <v>3</v>
      </c>
      <c r="J6" s="33" t="s">
        <v>52</v>
      </c>
      <c r="K6" s="32">
        <v>22</v>
      </c>
      <c r="L6" s="34"/>
      <c r="M6" s="35"/>
      <c r="N6" s="50">
        <f t="shared" si="2"/>
        <v>4.0999999999999996</v>
      </c>
      <c r="O6" s="37">
        <v>29.3</v>
      </c>
      <c r="P6" s="38">
        <v>29.870999999999999</v>
      </c>
      <c r="Q6" s="51">
        <v>29.88</v>
      </c>
      <c r="R6" s="38">
        <v>8.11</v>
      </c>
      <c r="S6" s="38">
        <v>8.1999999999999993</v>
      </c>
      <c r="T6" s="37">
        <v>28.9</v>
      </c>
      <c r="U6" s="38">
        <v>31.963999999999999</v>
      </c>
      <c r="V6" s="52">
        <v>31.7</v>
      </c>
      <c r="W6" s="38">
        <v>6.21</v>
      </c>
      <c r="X6" s="38">
        <v>6.2380000000000004</v>
      </c>
      <c r="Y6" s="38">
        <v>6.08</v>
      </c>
      <c r="Z6" s="38">
        <f t="shared" si="0"/>
        <v>6.0698056346262694</v>
      </c>
      <c r="AA6" s="41">
        <v>11.15</v>
      </c>
      <c r="AB6" s="53"/>
      <c r="AC6" s="42">
        <v>0.64</v>
      </c>
      <c r="AD6" s="43">
        <v>1.01</v>
      </c>
      <c r="AF6" s="115"/>
      <c r="AG6" s="143"/>
      <c r="AH6" s="117"/>
      <c r="AI6" s="113"/>
      <c r="AJ6" s="147"/>
      <c r="AK6" s="147"/>
      <c r="AL6" s="147"/>
      <c r="AM6" s="147"/>
      <c r="AN6" s="112"/>
      <c r="AO6" s="112"/>
      <c r="AP6" s="108"/>
      <c r="AQ6" s="45">
        <v>4.6300000000000001E-2</v>
      </c>
      <c r="AR6" s="46">
        <v>12.081</v>
      </c>
      <c r="AS6" s="46">
        <v>0.1181</v>
      </c>
      <c r="AT6" s="46">
        <v>5.3944000000000001</v>
      </c>
      <c r="AU6" s="46">
        <v>1.4543999999999999</v>
      </c>
      <c r="AV6" s="47">
        <v>189.38</v>
      </c>
      <c r="AW6" s="46"/>
      <c r="AX6" s="46"/>
      <c r="AY6" s="48"/>
    </row>
    <row r="7" spans="1:51" customFormat="1" ht="14.25" customHeight="1" x14ac:dyDescent="0.45">
      <c r="A7" s="54">
        <v>2024</v>
      </c>
      <c r="B7" s="54">
        <v>11</v>
      </c>
      <c r="C7" s="54">
        <v>26</v>
      </c>
      <c r="D7" s="28">
        <v>0.42777777777777776</v>
      </c>
      <c r="E7" s="55">
        <v>49</v>
      </c>
      <c r="F7" s="30">
        <v>13.23394</v>
      </c>
      <c r="G7" s="31">
        <v>100.79962999999999</v>
      </c>
      <c r="H7" s="54">
        <v>21.8</v>
      </c>
      <c r="I7" s="54">
        <v>3</v>
      </c>
      <c r="J7" s="33" t="s">
        <v>47</v>
      </c>
      <c r="K7" s="54">
        <v>1</v>
      </c>
      <c r="L7" s="34">
        <v>9</v>
      </c>
      <c r="M7" s="35" t="s">
        <v>48</v>
      </c>
      <c r="N7" s="36">
        <v>4.8</v>
      </c>
      <c r="O7" s="37">
        <v>29.7</v>
      </c>
      <c r="P7" s="38">
        <v>29.792000000000002</v>
      </c>
      <c r="Q7" s="51">
        <v>29.8</v>
      </c>
      <c r="R7" s="38">
        <v>8.1</v>
      </c>
      <c r="S7" s="38">
        <v>8.1999999999999993</v>
      </c>
      <c r="T7" s="37">
        <v>29</v>
      </c>
      <c r="U7" s="38">
        <v>31.913</v>
      </c>
      <c r="V7" s="52">
        <v>31.73</v>
      </c>
      <c r="W7" s="38">
        <v>6.35</v>
      </c>
      <c r="X7" s="38">
        <v>6.5570000000000004</v>
      </c>
      <c r="Y7" s="38">
        <v>6.23</v>
      </c>
      <c r="Z7" s="38">
        <f t="shared" si="0"/>
        <v>6.1877548890457357</v>
      </c>
      <c r="AA7" s="41">
        <v>11.95</v>
      </c>
      <c r="AB7" s="53">
        <v>0.96870000000000001</v>
      </c>
      <c r="AC7" s="42">
        <v>0.61</v>
      </c>
      <c r="AD7" s="43">
        <v>1.08</v>
      </c>
      <c r="AE7" s="44" t="s">
        <v>49</v>
      </c>
      <c r="AF7" s="120"/>
      <c r="AG7" s="143"/>
      <c r="AH7" s="117"/>
      <c r="AI7" s="113"/>
      <c r="AJ7" s="147"/>
      <c r="AK7" s="147"/>
      <c r="AL7" s="147"/>
      <c r="AM7" s="147"/>
      <c r="AN7" s="112"/>
      <c r="AO7" s="112"/>
      <c r="AP7" s="108"/>
      <c r="AQ7" s="45">
        <v>9.4600000000000004E-2</v>
      </c>
      <c r="AR7" s="46">
        <v>9.5395000000000003</v>
      </c>
      <c r="AS7" s="46">
        <v>0.16389999999999999</v>
      </c>
      <c r="AT7" s="46">
        <v>2.931</v>
      </c>
      <c r="AU7" s="46">
        <v>1.1839999999999999</v>
      </c>
      <c r="AV7" s="47">
        <v>128.57669999999999</v>
      </c>
      <c r="AW7" s="46"/>
      <c r="AX7" s="46"/>
      <c r="AY7" s="48" t="s">
        <v>50</v>
      </c>
    </row>
    <row r="8" spans="1:51" customFormat="1" ht="14.25" customHeight="1" x14ac:dyDescent="0.45">
      <c r="A8" s="26">
        <f t="shared" ref="A8:I8" si="4">A7</f>
        <v>2024</v>
      </c>
      <c r="B8" s="27">
        <f t="shared" si="4"/>
        <v>11</v>
      </c>
      <c r="C8" s="27">
        <f t="shared" si="4"/>
        <v>26</v>
      </c>
      <c r="D8" s="28">
        <f t="shared" si="4"/>
        <v>0.42777777777777776</v>
      </c>
      <c r="E8" s="29">
        <f t="shared" si="4"/>
        <v>49</v>
      </c>
      <c r="F8" s="49">
        <f t="shared" si="4"/>
        <v>13.23394</v>
      </c>
      <c r="G8" s="31">
        <f t="shared" si="4"/>
        <v>100.79962999999999</v>
      </c>
      <c r="H8" s="27">
        <f t="shared" si="4"/>
        <v>21.8</v>
      </c>
      <c r="I8" s="27">
        <f t="shared" si="4"/>
        <v>3</v>
      </c>
      <c r="J8" s="33" t="s">
        <v>51</v>
      </c>
      <c r="K8" s="32">
        <v>10</v>
      </c>
      <c r="L8" s="34"/>
      <c r="M8" s="35"/>
      <c r="N8" s="50">
        <f t="shared" ref="N8:N9" si="5">N7</f>
        <v>4.8</v>
      </c>
      <c r="O8" s="37">
        <v>29.6</v>
      </c>
      <c r="P8" s="38">
        <v>29.742999999999999</v>
      </c>
      <c r="Q8" s="51">
        <v>29.74</v>
      </c>
      <c r="R8" s="38">
        <v>8.11</v>
      </c>
      <c r="S8" s="38">
        <v>8.1999999999999993</v>
      </c>
      <c r="T8" s="37">
        <v>29.1</v>
      </c>
      <c r="U8" s="38">
        <v>32.11</v>
      </c>
      <c r="V8" s="52">
        <v>31.74</v>
      </c>
      <c r="W8" s="38">
        <v>6.29</v>
      </c>
      <c r="X8" s="38">
        <v>6.4820000000000002</v>
      </c>
      <c r="Y8" s="38">
        <v>6.19</v>
      </c>
      <c r="Z8" s="38">
        <f t="shared" si="0"/>
        <v>6.1563017545338781</v>
      </c>
      <c r="AA8" s="41">
        <v>5.2</v>
      </c>
      <c r="AB8" s="53"/>
      <c r="AC8" s="42">
        <v>0.82</v>
      </c>
      <c r="AD8" s="43">
        <v>1.2</v>
      </c>
      <c r="AF8" s="115"/>
      <c r="AG8" s="143"/>
      <c r="AH8" s="117"/>
      <c r="AI8" s="113"/>
      <c r="AJ8" s="147"/>
      <c r="AK8" s="147"/>
      <c r="AL8" s="147"/>
      <c r="AM8" s="147"/>
      <c r="AN8" s="112"/>
      <c r="AO8" s="112"/>
      <c r="AP8" s="108"/>
      <c r="AQ8" s="45">
        <v>9.4600000000000004E-2</v>
      </c>
      <c r="AR8" s="46">
        <v>8.5754999999999999</v>
      </c>
      <c r="AS8" s="46">
        <v>0.2326</v>
      </c>
      <c r="AT8" s="46">
        <v>4.6750999999999996</v>
      </c>
      <c r="AU8" s="46">
        <v>1.0255000000000001</v>
      </c>
      <c r="AV8" s="47">
        <v>187.91800000000001</v>
      </c>
      <c r="AW8" s="46"/>
      <c r="AX8" s="46"/>
      <c r="AY8" s="48"/>
    </row>
    <row r="9" spans="1:51" customFormat="1" ht="14.25" customHeight="1" x14ac:dyDescent="0.45">
      <c r="A9" s="26">
        <f t="shared" ref="A9:I9" si="6">A8</f>
        <v>2024</v>
      </c>
      <c r="B9" s="27">
        <f t="shared" si="6"/>
        <v>11</v>
      </c>
      <c r="C9" s="27">
        <f t="shared" si="6"/>
        <v>26</v>
      </c>
      <c r="D9" s="28">
        <f t="shared" si="6"/>
        <v>0.42777777777777776</v>
      </c>
      <c r="E9" s="29">
        <f t="shared" si="6"/>
        <v>49</v>
      </c>
      <c r="F9" s="49">
        <f t="shared" si="6"/>
        <v>13.23394</v>
      </c>
      <c r="G9" s="31">
        <f t="shared" si="6"/>
        <v>100.79962999999999</v>
      </c>
      <c r="H9" s="27">
        <f t="shared" si="6"/>
        <v>21.8</v>
      </c>
      <c r="I9" s="27">
        <f t="shared" si="6"/>
        <v>3</v>
      </c>
      <c r="J9" s="33" t="s">
        <v>52</v>
      </c>
      <c r="K9" s="32">
        <v>20</v>
      </c>
      <c r="L9" s="34"/>
      <c r="M9" s="35"/>
      <c r="N9" s="50">
        <f t="shared" si="5"/>
        <v>4.8</v>
      </c>
      <c r="O9" s="37">
        <v>29.8</v>
      </c>
      <c r="P9" s="38">
        <v>29.739000000000001</v>
      </c>
      <c r="Q9" s="51">
        <v>29.74</v>
      </c>
      <c r="R9" s="38">
        <v>8.1199999999999992</v>
      </c>
      <c r="S9" s="38">
        <v>8.1999999999999993</v>
      </c>
      <c r="T9" s="37">
        <v>29.1</v>
      </c>
      <c r="U9" s="38">
        <v>32.183999999999997</v>
      </c>
      <c r="V9" s="52">
        <v>31.75</v>
      </c>
      <c r="W9" s="38">
        <v>7.19</v>
      </c>
      <c r="X9" s="38">
        <v>6.4429999999999996</v>
      </c>
      <c r="Y9" s="38">
        <v>6.14</v>
      </c>
      <c r="Z9" s="38">
        <f t="shared" si="0"/>
        <v>6.1169853363940554</v>
      </c>
      <c r="AA9" s="41">
        <v>15.45</v>
      </c>
      <c r="AB9" s="53"/>
      <c r="AC9" s="42">
        <v>0.99</v>
      </c>
      <c r="AD9" s="43">
        <v>1.58</v>
      </c>
      <c r="AF9" s="115"/>
      <c r="AG9" s="143"/>
      <c r="AH9" s="117"/>
      <c r="AI9" s="113"/>
      <c r="AJ9" s="147"/>
      <c r="AK9" s="147"/>
      <c r="AL9" s="147"/>
      <c r="AM9" s="147"/>
      <c r="AN9" s="112"/>
      <c r="AO9" s="112"/>
      <c r="AP9" s="108"/>
      <c r="AQ9" s="45">
        <v>4.6300000000000001E-2</v>
      </c>
      <c r="AR9" s="46">
        <v>13.5709</v>
      </c>
      <c r="AS9" s="46">
        <v>0.18679999999999999</v>
      </c>
      <c r="AT9" s="46">
        <v>5.2145999999999999</v>
      </c>
      <c r="AU9" s="46">
        <v>1.2509999999999999</v>
      </c>
      <c r="AV9" s="47">
        <v>144.56360000000001</v>
      </c>
      <c r="AW9" s="46"/>
      <c r="AX9" s="46"/>
      <c r="AY9" s="48"/>
    </row>
    <row r="10" spans="1:51" customFormat="1" ht="14.25" customHeight="1" x14ac:dyDescent="0.45">
      <c r="A10" s="26">
        <v>2024</v>
      </c>
      <c r="B10" s="27">
        <v>11</v>
      </c>
      <c r="C10" s="27">
        <v>26</v>
      </c>
      <c r="D10" s="28">
        <v>0.54166666666666663</v>
      </c>
      <c r="E10" s="29">
        <v>50</v>
      </c>
      <c r="F10" s="30">
        <v>13.28313</v>
      </c>
      <c r="G10" s="31">
        <v>100.80033</v>
      </c>
      <c r="H10" s="32">
        <v>20</v>
      </c>
      <c r="I10" s="27">
        <v>3</v>
      </c>
      <c r="J10" s="33" t="s">
        <v>47</v>
      </c>
      <c r="K10" s="32">
        <v>1</v>
      </c>
      <c r="L10" s="34">
        <v>6</v>
      </c>
      <c r="M10" s="35" t="s">
        <v>48</v>
      </c>
      <c r="N10" s="36">
        <v>4.0999999999999996</v>
      </c>
      <c r="O10" s="37">
        <v>29.9</v>
      </c>
      <c r="P10" s="38">
        <v>29.946000000000002</v>
      </c>
      <c r="Q10" s="51">
        <v>29.95</v>
      </c>
      <c r="R10" s="38">
        <v>8.15</v>
      </c>
      <c r="S10" s="38">
        <v>8.2100000000000009</v>
      </c>
      <c r="T10" s="37">
        <v>29</v>
      </c>
      <c r="U10" s="38">
        <v>31.847000000000001</v>
      </c>
      <c r="V10" s="52">
        <v>31.74</v>
      </c>
      <c r="W10" s="38"/>
      <c r="X10" s="38">
        <v>6.7350000000000003</v>
      </c>
      <c r="Y10" s="38">
        <v>6.43</v>
      </c>
      <c r="Z10" s="38">
        <f t="shared" si="0"/>
        <v>6.3450205616050219</v>
      </c>
      <c r="AA10" s="41"/>
      <c r="AB10" s="53"/>
      <c r="AC10" s="42">
        <v>0.52</v>
      </c>
      <c r="AD10" s="43">
        <v>0.79</v>
      </c>
      <c r="AF10" s="115"/>
      <c r="AG10" s="143"/>
      <c r="AH10" s="117"/>
      <c r="AI10" s="113"/>
      <c r="AJ10" s="147"/>
      <c r="AK10" s="147"/>
      <c r="AL10" s="147"/>
      <c r="AM10" s="147"/>
      <c r="AN10" s="112"/>
      <c r="AO10" s="112"/>
      <c r="AP10" s="108"/>
      <c r="AQ10" s="45"/>
      <c r="AR10" s="46"/>
      <c r="AS10" s="46"/>
      <c r="AT10" s="46"/>
      <c r="AU10" s="46"/>
      <c r="AV10" s="47"/>
      <c r="AW10" s="46"/>
      <c r="AX10" s="46"/>
      <c r="AY10" s="48" t="s">
        <v>53</v>
      </c>
    </row>
    <row r="11" spans="1:51" customFormat="1" ht="14.25" customHeight="1" x14ac:dyDescent="0.45">
      <c r="A11" s="26">
        <f t="shared" ref="A11:I11" si="7">A10</f>
        <v>2024</v>
      </c>
      <c r="B11" s="27">
        <f t="shared" si="7"/>
        <v>11</v>
      </c>
      <c r="C11" s="27">
        <f t="shared" si="7"/>
        <v>26</v>
      </c>
      <c r="D11" s="28">
        <f t="shared" si="7"/>
        <v>0.54166666666666663</v>
      </c>
      <c r="E11" s="29">
        <f t="shared" si="7"/>
        <v>50</v>
      </c>
      <c r="F11" s="49">
        <f t="shared" si="7"/>
        <v>13.28313</v>
      </c>
      <c r="G11" s="31">
        <f t="shared" si="7"/>
        <v>100.80033</v>
      </c>
      <c r="H11" s="32">
        <f t="shared" si="7"/>
        <v>20</v>
      </c>
      <c r="I11" s="27">
        <f t="shared" si="7"/>
        <v>3</v>
      </c>
      <c r="J11" s="33" t="s">
        <v>51</v>
      </c>
      <c r="K11" s="32">
        <v>10</v>
      </c>
      <c r="L11" s="34"/>
      <c r="M11" s="35"/>
      <c r="N11" s="50">
        <f t="shared" ref="N11:N12" si="8">N10</f>
        <v>4.0999999999999996</v>
      </c>
      <c r="O11" s="37">
        <v>29.8</v>
      </c>
      <c r="P11" s="38">
        <v>29.757000000000001</v>
      </c>
      <c r="Q11" s="51">
        <v>29.76</v>
      </c>
      <c r="R11" s="38">
        <v>8.14</v>
      </c>
      <c r="S11" s="38">
        <v>8.2100000000000009</v>
      </c>
      <c r="T11" s="37">
        <v>29</v>
      </c>
      <c r="U11" s="38">
        <v>31.927</v>
      </c>
      <c r="V11" s="52">
        <v>31.74</v>
      </c>
      <c r="W11" s="38"/>
      <c r="X11" s="38">
        <v>6.6029999999999998</v>
      </c>
      <c r="Y11" s="38">
        <v>6.27</v>
      </c>
      <c r="Z11" s="38">
        <f t="shared" si="0"/>
        <v>6.2192080235575924</v>
      </c>
      <c r="AA11" s="41"/>
      <c r="AB11" s="53"/>
      <c r="AC11" s="42">
        <v>1.32</v>
      </c>
      <c r="AD11" s="43">
        <v>1.23</v>
      </c>
      <c r="AF11" s="115"/>
      <c r="AG11" s="143"/>
      <c r="AH11" s="117"/>
      <c r="AI11" s="113"/>
      <c r="AJ11" s="147"/>
      <c r="AK11" s="147"/>
      <c r="AL11" s="147"/>
      <c r="AM11" s="147"/>
      <c r="AN11" s="112"/>
      <c r="AO11" s="112"/>
      <c r="AP11" s="108"/>
      <c r="AQ11" s="45"/>
      <c r="AR11" s="46"/>
      <c r="AS11" s="46"/>
      <c r="AT11" s="46"/>
      <c r="AU11" s="46"/>
      <c r="AV11" s="47"/>
      <c r="AW11" s="46"/>
      <c r="AX11" s="46"/>
      <c r="AY11" s="48"/>
    </row>
    <row r="12" spans="1:51" customFormat="1" ht="14.25" customHeight="1" x14ac:dyDescent="0.45">
      <c r="A12" s="26">
        <f t="shared" ref="A12:I12" si="9">A11</f>
        <v>2024</v>
      </c>
      <c r="B12" s="27">
        <f t="shared" si="9"/>
        <v>11</v>
      </c>
      <c r="C12" s="27">
        <f t="shared" si="9"/>
        <v>26</v>
      </c>
      <c r="D12" s="28">
        <f t="shared" si="9"/>
        <v>0.54166666666666663</v>
      </c>
      <c r="E12" s="29">
        <f t="shared" si="9"/>
        <v>50</v>
      </c>
      <c r="F12" s="49">
        <f t="shared" si="9"/>
        <v>13.28313</v>
      </c>
      <c r="G12" s="31">
        <f t="shared" si="9"/>
        <v>100.80033</v>
      </c>
      <c r="H12" s="32">
        <f t="shared" si="9"/>
        <v>20</v>
      </c>
      <c r="I12" s="27">
        <f t="shared" si="9"/>
        <v>3</v>
      </c>
      <c r="J12" s="33" t="s">
        <v>52</v>
      </c>
      <c r="K12" s="32">
        <v>19</v>
      </c>
      <c r="L12" s="34"/>
      <c r="M12" s="35"/>
      <c r="N12" s="50">
        <f t="shared" si="8"/>
        <v>4.0999999999999996</v>
      </c>
      <c r="O12" s="37">
        <v>30.1</v>
      </c>
      <c r="P12" s="38">
        <v>29.728999999999999</v>
      </c>
      <c r="Q12" s="51">
        <v>29.73</v>
      </c>
      <c r="R12" s="38">
        <v>8.11</v>
      </c>
      <c r="S12" s="38">
        <v>8.1999999999999993</v>
      </c>
      <c r="T12" s="37">
        <v>29</v>
      </c>
      <c r="U12" s="38">
        <v>31.954000000000001</v>
      </c>
      <c r="V12" s="52">
        <v>31.75</v>
      </c>
      <c r="W12" s="38"/>
      <c r="X12" s="38">
        <v>6.5129999999999999</v>
      </c>
      <c r="Y12" s="38">
        <v>6.14</v>
      </c>
      <c r="Z12" s="38">
        <f t="shared" si="0"/>
        <v>6.1169853363940554</v>
      </c>
      <c r="AA12" s="41"/>
      <c r="AB12" s="53"/>
      <c r="AC12" s="42">
        <v>1.28</v>
      </c>
      <c r="AD12" s="43">
        <v>1.6</v>
      </c>
      <c r="AF12" s="115"/>
      <c r="AG12" s="143"/>
      <c r="AH12" s="117"/>
      <c r="AI12" s="113"/>
      <c r="AJ12" s="147"/>
      <c r="AK12" s="147"/>
      <c r="AL12" s="147"/>
      <c r="AM12" s="147"/>
      <c r="AN12" s="112"/>
      <c r="AO12" s="112"/>
      <c r="AP12" s="108"/>
      <c r="AQ12" s="45"/>
      <c r="AR12" s="46"/>
      <c r="AS12" s="46"/>
      <c r="AT12" s="46"/>
      <c r="AU12" s="46"/>
      <c r="AV12" s="47"/>
      <c r="AW12" s="46"/>
      <c r="AX12" s="46"/>
      <c r="AY12" s="48"/>
    </row>
    <row r="13" spans="1:51" customFormat="1" ht="14.25" customHeight="1" x14ac:dyDescent="0.45">
      <c r="A13" s="26">
        <v>2024</v>
      </c>
      <c r="B13" s="54">
        <v>11</v>
      </c>
      <c r="C13" s="27">
        <v>26</v>
      </c>
      <c r="D13" s="28">
        <v>0.57291666666666663</v>
      </c>
      <c r="E13" s="29">
        <v>51</v>
      </c>
      <c r="F13" s="30">
        <v>13.331189999999999</v>
      </c>
      <c r="G13" s="31">
        <v>100.80005</v>
      </c>
      <c r="H13" s="32">
        <v>18</v>
      </c>
      <c r="I13" s="27">
        <v>3</v>
      </c>
      <c r="J13" s="33" t="s">
        <v>47</v>
      </c>
      <c r="K13" s="32">
        <v>1</v>
      </c>
      <c r="L13" s="34">
        <v>8</v>
      </c>
      <c r="M13" s="35" t="s">
        <v>48</v>
      </c>
      <c r="N13" s="36">
        <v>2.7</v>
      </c>
      <c r="O13" s="37">
        <v>29.9</v>
      </c>
      <c r="P13" s="38">
        <v>29.753</v>
      </c>
      <c r="Q13" s="51">
        <v>29.76</v>
      </c>
      <c r="R13" s="38">
        <v>8.2100000000000009</v>
      </c>
      <c r="S13" s="38">
        <v>8.1999999999999993</v>
      </c>
      <c r="T13" s="37">
        <v>28.9</v>
      </c>
      <c r="U13" s="38">
        <v>31.69</v>
      </c>
      <c r="V13" s="52">
        <v>31.56</v>
      </c>
      <c r="W13" s="38">
        <v>6.6</v>
      </c>
      <c r="X13" s="38">
        <v>7.7069999999999999</v>
      </c>
      <c r="Y13" s="38">
        <v>7</v>
      </c>
      <c r="Z13" s="38">
        <f t="shared" si="0"/>
        <v>6.7932277283989908</v>
      </c>
      <c r="AA13" s="41">
        <v>7.9</v>
      </c>
      <c r="AB13" s="53">
        <v>1.6756</v>
      </c>
      <c r="AC13" s="42">
        <v>1.6</v>
      </c>
      <c r="AD13" s="43">
        <v>1.9</v>
      </c>
      <c r="AE13" s="44" t="s">
        <v>49</v>
      </c>
      <c r="AF13" s="120"/>
      <c r="AG13" s="143"/>
      <c r="AH13" s="117"/>
      <c r="AI13" s="113"/>
      <c r="AJ13" s="147"/>
      <c r="AK13" s="147"/>
      <c r="AL13" s="147"/>
      <c r="AM13" s="147"/>
      <c r="AN13" s="112"/>
      <c r="AO13" s="112"/>
      <c r="AP13" s="108"/>
      <c r="AQ13" s="45">
        <v>9.4600000000000004E-2</v>
      </c>
      <c r="AR13" s="46">
        <v>9.1013000000000002</v>
      </c>
      <c r="AS13" s="46">
        <v>0.14099999999999999</v>
      </c>
      <c r="AT13" s="46">
        <v>5.3944000000000001</v>
      </c>
      <c r="AU13" s="46">
        <v>1.5398000000000001</v>
      </c>
      <c r="AV13" s="47">
        <v>178.57149999999999</v>
      </c>
      <c r="AW13" s="46"/>
      <c r="AX13" s="46"/>
      <c r="AY13" s="48" t="s">
        <v>53</v>
      </c>
    </row>
    <row r="14" spans="1:51" customFormat="1" ht="14.25" customHeight="1" x14ac:dyDescent="0.45">
      <c r="A14" s="26">
        <f t="shared" ref="A14:I14" si="10">A13</f>
        <v>2024</v>
      </c>
      <c r="B14" s="27">
        <f t="shared" si="10"/>
        <v>11</v>
      </c>
      <c r="C14" s="27">
        <f t="shared" si="10"/>
        <v>26</v>
      </c>
      <c r="D14" s="28">
        <f t="shared" si="10"/>
        <v>0.57291666666666663</v>
      </c>
      <c r="E14" s="29">
        <f t="shared" si="10"/>
        <v>51</v>
      </c>
      <c r="F14" s="49">
        <f t="shared" si="10"/>
        <v>13.331189999999999</v>
      </c>
      <c r="G14" s="31">
        <f t="shared" si="10"/>
        <v>100.80005</v>
      </c>
      <c r="H14" s="32">
        <f t="shared" si="10"/>
        <v>18</v>
      </c>
      <c r="I14" s="27">
        <f t="shared" si="10"/>
        <v>3</v>
      </c>
      <c r="J14" s="33" t="s">
        <v>51</v>
      </c>
      <c r="K14" s="32">
        <v>9</v>
      </c>
      <c r="L14" s="34"/>
      <c r="M14" s="35"/>
      <c r="N14" s="50">
        <f t="shared" ref="N14:N15" si="11">N13</f>
        <v>2.7</v>
      </c>
      <c r="O14" s="37">
        <v>29.6</v>
      </c>
      <c r="P14" s="38">
        <v>29.602</v>
      </c>
      <c r="Q14" s="51">
        <v>29.61</v>
      </c>
      <c r="R14" s="38">
        <v>8.19</v>
      </c>
      <c r="S14" s="38">
        <v>8.1999999999999993</v>
      </c>
      <c r="T14" s="37">
        <v>28.9</v>
      </c>
      <c r="U14" s="38">
        <v>31.788</v>
      </c>
      <c r="V14" s="52">
        <v>31.63</v>
      </c>
      <c r="W14" s="38">
        <v>6.91</v>
      </c>
      <c r="X14" s="38">
        <v>7.1929999999999996</v>
      </c>
      <c r="Y14" s="38">
        <v>6.61</v>
      </c>
      <c r="Z14" s="38">
        <f t="shared" si="0"/>
        <v>6.4865596669083807</v>
      </c>
      <c r="AA14" s="41">
        <v>5.8</v>
      </c>
      <c r="AB14" s="53"/>
      <c r="AC14" s="42">
        <v>1.79</v>
      </c>
      <c r="AD14" s="43">
        <v>1.6</v>
      </c>
      <c r="AF14" s="115"/>
      <c r="AG14" s="143"/>
      <c r="AH14" s="117"/>
      <c r="AI14" s="113"/>
      <c r="AJ14" s="147"/>
      <c r="AK14" s="147"/>
      <c r="AL14" s="147"/>
      <c r="AM14" s="147"/>
      <c r="AN14" s="112"/>
      <c r="AO14" s="112"/>
      <c r="AP14" s="108"/>
      <c r="AQ14" s="45">
        <v>0.1429</v>
      </c>
      <c r="AR14" s="46">
        <v>9.2766000000000002</v>
      </c>
      <c r="AS14" s="46">
        <v>0.16389999999999999</v>
      </c>
      <c r="AT14" s="46">
        <v>8.4512</v>
      </c>
      <c r="AU14" s="46">
        <v>1.5678000000000001</v>
      </c>
      <c r="AV14" s="47">
        <v>151.51060000000001</v>
      </c>
      <c r="AW14" s="46"/>
      <c r="AX14" s="46"/>
      <c r="AY14" s="48"/>
    </row>
    <row r="15" spans="1:51" customFormat="1" ht="14.25" customHeight="1" x14ac:dyDescent="0.45">
      <c r="A15" s="26">
        <f t="shared" ref="A15:I15" si="12">A14</f>
        <v>2024</v>
      </c>
      <c r="B15" s="27">
        <f t="shared" si="12"/>
        <v>11</v>
      </c>
      <c r="C15" s="27">
        <f t="shared" si="12"/>
        <v>26</v>
      </c>
      <c r="D15" s="28">
        <f t="shared" si="12"/>
        <v>0.57291666666666663</v>
      </c>
      <c r="E15" s="29">
        <f t="shared" si="12"/>
        <v>51</v>
      </c>
      <c r="F15" s="49">
        <f t="shared" si="12"/>
        <v>13.331189999999999</v>
      </c>
      <c r="G15" s="31">
        <f t="shared" si="12"/>
        <v>100.80005</v>
      </c>
      <c r="H15" s="32">
        <f t="shared" si="12"/>
        <v>18</v>
      </c>
      <c r="I15" s="27">
        <f t="shared" si="12"/>
        <v>3</v>
      </c>
      <c r="J15" s="33" t="s">
        <v>52</v>
      </c>
      <c r="K15" s="32">
        <v>17</v>
      </c>
      <c r="L15" s="34"/>
      <c r="M15" s="35"/>
      <c r="N15" s="50">
        <f t="shared" si="11"/>
        <v>2.7</v>
      </c>
      <c r="O15" s="37">
        <v>29.3</v>
      </c>
      <c r="P15" s="38">
        <v>29.489000000000001</v>
      </c>
      <c r="Q15" s="51">
        <v>29.5</v>
      </c>
      <c r="R15" s="38">
        <v>8.15</v>
      </c>
      <c r="S15" s="38">
        <v>8.18</v>
      </c>
      <c r="T15" s="37">
        <v>29</v>
      </c>
      <c r="U15" s="38">
        <v>31.843</v>
      </c>
      <c r="V15" s="52">
        <v>31.63</v>
      </c>
      <c r="W15" s="38">
        <v>6.54</v>
      </c>
      <c r="X15" s="38">
        <v>6.8230000000000004</v>
      </c>
      <c r="Y15" s="38">
        <v>6.33</v>
      </c>
      <c r="Z15" s="38">
        <f t="shared" si="0"/>
        <v>6.2663877253253784</v>
      </c>
      <c r="AA15" s="41">
        <v>14</v>
      </c>
      <c r="AB15" s="53"/>
      <c r="AC15" s="42">
        <v>1.34</v>
      </c>
      <c r="AD15" s="43">
        <v>2.66</v>
      </c>
      <c r="AF15" s="115"/>
      <c r="AG15" s="143"/>
      <c r="AH15" s="117"/>
      <c r="AI15" s="113"/>
      <c r="AJ15" s="147"/>
      <c r="AK15" s="147"/>
      <c r="AL15" s="147"/>
      <c r="AM15" s="147"/>
      <c r="AN15" s="112"/>
      <c r="AO15" s="112"/>
      <c r="AP15" s="108"/>
      <c r="AQ15" s="45">
        <v>0.1188</v>
      </c>
      <c r="AR15" s="46">
        <v>6.4722</v>
      </c>
      <c r="AS15" s="46">
        <v>0.14099999999999999</v>
      </c>
      <c r="AT15" s="46">
        <v>6.9227999999999996</v>
      </c>
      <c r="AU15" s="46">
        <v>1.3360000000000001</v>
      </c>
      <c r="AV15" s="47">
        <v>151.73500000000001</v>
      </c>
      <c r="AW15" s="46"/>
      <c r="AX15" s="46"/>
      <c r="AY15" s="48"/>
    </row>
    <row r="16" spans="1:51" customFormat="1" ht="14.25" customHeight="1" x14ac:dyDescent="0.45">
      <c r="A16" s="26">
        <v>2024</v>
      </c>
      <c r="B16" s="27">
        <v>11</v>
      </c>
      <c r="C16" s="27">
        <v>26</v>
      </c>
      <c r="D16" s="28">
        <v>0.60763888888888884</v>
      </c>
      <c r="E16" s="29">
        <v>52</v>
      </c>
      <c r="F16" s="30">
        <v>13.363390000000001</v>
      </c>
      <c r="G16" s="31">
        <v>100.80032</v>
      </c>
      <c r="H16" s="32">
        <v>15.6</v>
      </c>
      <c r="I16" s="27">
        <v>3</v>
      </c>
      <c r="J16" s="33" t="s">
        <v>47</v>
      </c>
      <c r="K16" s="32">
        <v>1</v>
      </c>
      <c r="L16" s="34">
        <v>2</v>
      </c>
      <c r="M16" s="35" t="s">
        <v>48</v>
      </c>
      <c r="N16" s="36">
        <v>2.8</v>
      </c>
      <c r="O16" s="37">
        <v>29.3</v>
      </c>
      <c r="P16" s="38">
        <v>29.6</v>
      </c>
      <c r="Q16" s="51">
        <v>29.58</v>
      </c>
      <c r="R16" s="38">
        <v>8.1999999999999993</v>
      </c>
      <c r="S16" s="38">
        <v>8.15</v>
      </c>
      <c r="T16" s="37">
        <v>28.6</v>
      </c>
      <c r="U16" s="38">
        <v>31.385999999999999</v>
      </c>
      <c r="V16" s="52">
        <v>31.26</v>
      </c>
      <c r="W16" s="38"/>
      <c r="X16" s="38">
        <v>8.8970000000000002</v>
      </c>
      <c r="Y16" s="38">
        <v>7.73</v>
      </c>
      <c r="Z16" s="38">
        <f t="shared" si="0"/>
        <v>7.3672474332403892</v>
      </c>
      <c r="AA16" s="41"/>
      <c r="AB16" s="53"/>
      <c r="AC16" s="42">
        <v>2.66</v>
      </c>
      <c r="AD16" s="43">
        <v>3.94</v>
      </c>
      <c r="AE16" s="44"/>
      <c r="AF16" s="120"/>
      <c r="AG16" s="143"/>
      <c r="AH16" s="117"/>
      <c r="AI16" s="113"/>
      <c r="AJ16" s="147"/>
      <c r="AK16" s="147"/>
      <c r="AL16" s="147"/>
      <c r="AM16" s="147"/>
      <c r="AN16" s="112"/>
      <c r="AO16" s="112"/>
      <c r="AP16" s="108"/>
      <c r="AQ16" s="45"/>
      <c r="AR16" s="46"/>
      <c r="AS16" s="46"/>
      <c r="AT16" s="46"/>
      <c r="AU16" s="46"/>
      <c r="AV16" s="47"/>
      <c r="AW16" s="46"/>
      <c r="AX16" s="46"/>
      <c r="AY16" s="48" t="s">
        <v>53</v>
      </c>
    </row>
    <row r="17" spans="1:51" customFormat="1" ht="14.25" customHeight="1" x14ac:dyDescent="0.45">
      <c r="A17" s="26">
        <f t="shared" ref="A17:I17" si="13">A16</f>
        <v>2024</v>
      </c>
      <c r="B17" s="27">
        <f t="shared" si="13"/>
        <v>11</v>
      </c>
      <c r="C17" s="27">
        <f t="shared" si="13"/>
        <v>26</v>
      </c>
      <c r="D17" s="28">
        <f t="shared" si="13"/>
        <v>0.60763888888888884</v>
      </c>
      <c r="E17" s="29">
        <f t="shared" si="13"/>
        <v>52</v>
      </c>
      <c r="F17" s="49">
        <f t="shared" si="13"/>
        <v>13.363390000000001</v>
      </c>
      <c r="G17" s="31">
        <f t="shared" si="13"/>
        <v>100.80032</v>
      </c>
      <c r="H17" s="32">
        <f t="shared" si="13"/>
        <v>15.6</v>
      </c>
      <c r="I17" s="27">
        <f t="shared" si="13"/>
        <v>3</v>
      </c>
      <c r="J17" s="33" t="s">
        <v>51</v>
      </c>
      <c r="K17" s="32">
        <v>7</v>
      </c>
      <c r="L17" s="34"/>
      <c r="M17" s="35"/>
      <c r="N17" s="50">
        <f t="shared" ref="N17:N18" si="14">N16</f>
        <v>2.8</v>
      </c>
      <c r="O17" s="37">
        <v>29.4</v>
      </c>
      <c r="P17" s="38">
        <v>29.393999999999998</v>
      </c>
      <c r="Q17" s="51">
        <v>29.42</v>
      </c>
      <c r="R17" s="38">
        <v>8.19</v>
      </c>
      <c r="S17" s="38">
        <v>8.16</v>
      </c>
      <c r="T17" s="37">
        <v>28.6</v>
      </c>
      <c r="U17" s="38">
        <v>31.597000000000001</v>
      </c>
      <c r="V17" s="52">
        <v>31.43</v>
      </c>
      <c r="W17" s="38"/>
      <c r="X17" s="38">
        <v>7.58</v>
      </c>
      <c r="Y17" s="38">
        <v>6.85</v>
      </c>
      <c r="Z17" s="38">
        <f t="shared" si="0"/>
        <v>6.6752784739795255</v>
      </c>
      <c r="AA17" s="41"/>
      <c r="AB17" s="53"/>
      <c r="AC17" s="42">
        <v>4.79</v>
      </c>
      <c r="AD17" s="43">
        <v>4.96</v>
      </c>
      <c r="AF17" s="115"/>
      <c r="AG17" s="143"/>
      <c r="AH17" s="117"/>
      <c r="AI17" s="113"/>
      <c r="AJ17" s="147"/>
      <c r="AK17" s="147"/>
      <c r="AL17" s="147"/>
      <c r="AM17" s="147"/>
      <c r="AN17" s="112"/>
      <c r="AO17" s="112"/>
      <c r="AP17" s="108"/>
      <c r="AQ17" s="45"/>
      <c r="AR17" s="46"/>
      <c r="AS17" s="46"/>
      <c r="AT17" s="46"/>
      <c r="AU17" s="46"/>
      <c r="AV17" s="47"/>
      <c r="AW17" s="46"/>
      <c r="AX17" s="46"/>
      <c r="AY17" s="48"/>
    </row>
    <row r="18" spans="1:51" customFormat="1" ht="14.25" customHeight="1" x14ac:dyDescent="0.45">
      <c r="A18" s="26">
        <f t="shared" ref="A18:I18" si="15">A17</f>
        <v>2024</v>
      </c>
      <c r="B18" s="27">
        <f t="shared" si="15"/>
        <v>11</v>
      </c>
      <c r="C18" s="27">
        <f t="shared" si="15"/>
        <v>26</v>
      </c>
      <c r="D18" s="28">
        <f t="shared" si="15"/>
        <v>0.60763888888888884</v>
      </c>
      <c r="E18" s="29">
        <f t="shared" si="15"/>
        <v>52</v>
      </c>
      <c r="F18" s="49">
        <f t="shared" si="15"/>
        <v>13.363390000000001</v>
      </c>
      <c r="G18" s="31">
        <f t="shared" si="15"/>
        <v>100.80032</v>
      </c>
      <c r="H18" s="32">
        <f t="shared" si="15"/>
        <v>15.6</v>
      </c>
      <c r="I18" s="27">
        <f t="shared" si="15"/>
        <v>3</v>
      </c>
      <c r="J18" s="33" t="s">
        <v>52</v>
      </c>
      <c r="K18" s="32">
        <v>14</v>
      </c>
      <c r="L18" s="34"/>
      <c r="M18" s="35"/>
      <c r="N18" s="50">
        <f t="shared" si="14"/>
        <v>2.8</v>
      </c>
      <c r="O18" s="37">
        <v>29.4</v>
      </c>
      <c r="P18" s="38">
        <v>29.466000000000001</v>
      </c>
      <c r="Q18" s="51">
        <v>29.48</v>
      </c>
      <c r="R18" s="38">
        <v>8.17</v>
      </c>
      <c r="S18" s="38">
        <v>8.14</v>
      </c>
      <c r="T18" s="37">
        <v>28.8</v>
      </c>
      <c r="U18" s="38">
        <v>31.757999999999999</v>
      </c>
      <c r="V18" s="52">
        <v>31.52</v>
      </c>
      <c r="W18" s="38"/>
      <c r="X18" s="38">
        <v>6.55</v>
      </c>
      <c r="Y18" s="38">
        <v>5.95</v>
      </c>
      <c r="Z18" s="38">
        <f t="shared" si="0"/>
        <v>5.9675829474627333</v>
      </c>
      <c r="AA18" s="41"/>
      <c r="AB18" s="53"/>
      <c r="AC18" s="42">
        <v>2.73</v>
      </c>
      <c r="AD18" s="43">
        <v>3.44</v>
      </c>
      <c r="AE18" s="44"/>
      <c r="AF18" s="120"/>
      <c r="AG18" s="143"/>
      <c r="AH18" s="117"/>
      <c r="AI18" s="113"/>
      <c r="AJ18" s="147"/>
      <c r="AK18" s="147"/>
      <c r="AL18" s="147"/>
      <c r="AM18" s="147"/>
      <c r="AN18" s="112"/>
      <c r="AO18" s="112"/>
      <c r="AP18" s="108"/>
      <c r="AQ18" s="45"/>
      <c r="AR18" s="46"/>
      <c r="AS18" s="46"/>
      <c r="AT18" s="46"/>
      <c r="AU18" s="46"/>
      <c r="AV18" s="47"/>
      <c r="AW18" s="46"/>
      <c r="AX18" s="46"/>
      <c r="AY18" s="48"/>
    </row>
    <row r="19" spans="1:51" customFormat="1" ht="14.25" customHeight="1" x14ac:dyDescent="0.45">
      <c r="A19" s="26">
        <v>2024</v>
      </c>
      <c r="B19" s="27">
        <v>11</v>
      </c>
      <c r="C19" s="27">
        <v>26</v>
      </c>
      <c r="D19" s="28">
        <v>0.63888888888888884</v>
      </c>
      <c r="E19" s="29">
        <v>54</v>
      </c>
      <c r="F19" s="30">
        <v>13.36421</v>
      </c>
      <c r="G19" s="31">
        <v>100.86465</v>
      </c>
      <c r="H19" s="32">
        <v>10</v>
      </c>
      <c r="I19" s="27">
        <v>3</v>
      </c>
      <c r="J19" s="33" t="s">
        <v>47</v>
      </c>
      <c r="K19" s="32">
        <v>1</v>
      </c>
      <c r="L19" s="34">
        <v>7</v>
      </c>
      <c r="M19" s="35" t="s">
        <v>48</v>
      </c>
      <c r="N19" s="36">
        <v>2.1</v>
      </c>
      <c r="O19" s="37">
        <v>29.6</v>
      </c>
      <c r="P19" s="38">
        <v>29.681000000000001</v>
      </c>
      <c r="Q19" s="51">
        <v>29.68</v>
      </c>
      <c r="R19" s="38">
        <v>8.19</v>
      </c>
      <c r="S19" s="38">
        <v>8.15</v>
      </c>
      <c r="T19" s="37">
        <v>28.4</v>
      </c>
      <c r="U19" s="38">
        <v>31.103999999999999</v>
      </c>
      <c r="V19" s="52">
        <v>31</v>
      </c>
      <c r="W19" s="38">
        <v>7.16</v>
      </c>
      <c r="X19" s="38">
        <v>8.5730000000000004</v>
      </c>
      <c r="Y19" s="38">
        <v>7.5</v>
      </c>
      <c r="Z19" s="38">
        <f t="shared" si="0"/>
        <v>7.1863919097972087</v>
      </c>
      <c r="AA19" s="41">
        <v>6.05</v>
      </c>
      <c r="AB19" s="53">
        <v>6.3494999999999999</v>
      </c>
      <c r="AC19" s="42">
        <v>3.21</v>
      </c>
      <c r="AD19" s="43">
        <v>4</v>
      </c>
      <c r="AE19" s="44" t="s">
        <v>49</v>
      </c>
      <c r="AF19" s="120" t="s">
        <v>49</v>
      </c>
      <c r="AG19" s="143"/>
      <c r="AH19" s="117"/>
      <c r="AI19" s="113"/>
      <c r="AJ19" s="147"/>
      <c r="AK19" s="147"/>
      <c r="AL19" s="147"/>
      <c r="AM19" s="147"/>
      <c r="AN19" s="112"/>
      <c r="AO19" s="112"/>
      <c r="AP19" s="108"/>
      <c r="AQ19" s="45">
        <v>0.38450000000000001</v>
      </c>
      <c r="AR19" s="46">
        <v>12.4316</v>
      </c>
      <c r="AS19" s="46">
        <v>0.2097</v>
      </c>
      <c r="AT19" s="46">
        <v>4.9447999999999999</v>
      </c>
      <c r="AU19" s="46">
        <v>1.2674000000000001</v>
      </c>
      <c r="AV19" s="47">
        <v>133.5701</v>
      </c>
      <c r="AW19" s="46"/>
      <c r="AX19" s="46"/>
      <c r="AY19" s="48" t="s">
        <v>53</v>
      </c>
    </row>
    <row r="20" spans="1:51" customFormat="1" ht="14.25" customHeight="1" x14ac:dyDescent="0.45">
      <c r="A20" s="26">
        <f t="shared" ref="A20:I20" si="16">A19</f>
        <v>2024</v>
      </c>
      <c r="B20" s="27">
        <f t="shared" si="16"/>
        <v>11</v>
      </c>
      <c r="C20" s="27">
        <f t="shared" si="16"/>
        <v>26</v>
      </c>
      <c r="D20" s="28">
        <f t="shared" si="16"/>
        <v>0.63888888888888884</v>
      </c>
      <c r="E20" s="29">
        <f t="shared" si="16"/>
        <v>54</v>
      </c>
      <c r="F20" s="49">
        <f t="shared" si="16"/>
        <v>13.36421</v>
      </c>
      <c r="G20" s="31">
        <f t="shared" si="16"/>
        <v>100.86465</v>
      </c>
      <c r="H20" s="32">
        <f t="shared" si="16"/>
        <v>10</v>
      </c>
      <c r="I20" s="27">
        <f t="shared" si="16"/>
        <v>3</v>
      </c>
      <c r="J20" s="33" t="s">
        <v>51</v>
      </c>
      <c r="K20" s="32">
        <v>5</v>
      </c>
      <c r="L20" s="34"/>
      <c r="M20" s="35"/>
      <c r="N20" s="50">
        <f t="shared" ref="N20:N21" si="17">N19</f>
        <v>2.1</v>
      </c>
      <c r="O20" s="37">
        <v>29.6</v>
      </c>
      <c r="P20" s="38">
        <v>29.486999999999998</v>
      </c>
      <c r="Q20" s="51">
        <v>29.51</v>
      </c>
      <c r="R20" s="54">
        <v>8.18</v>
      </c>
      <c r="S20" s="38">
        <v>8.16</v>
      </c>
      <c r="T20" s="37">
        <v>28.4</v>
      </c>
      <c r="U20" s="38">
        <v>31.302</v>
      </c>
      <c r="V20" s="43">
        <v>31.17</v>
      </c>
      <c r="W20" s="38">
        <v>7.03</v>
      </c>
      <c r="X20" s="38">
        <v>8.1300000000000008</v>
      </c>
      <c r="Y20" s="38">
        <v>7.33</v>
      </c>
      <c r="Z20" s="38">
        <f t="shared" si="0"/>
        <v>7.0527160881218149</v>
      </c>
      <c r="AA20" s="48">
        <v>7.8</v>
      </c>
      <c r="AB20" s="42"/>
      <c r="AC20" s="42">
        <v>4.95</v>
      </c>
      <c r="AD20" s="43">
        <v>5.61</v>
      </c>
      <c r="AF20" s="115"/>
      <c r="AG20" s="143"/>
      <c r="AH20" s="117"/>
      <c r="AI20" s="113"/>
      <c r="AJ20" s="147"/>
      <c r="AK20" s="147"/>
      <c r="AL20" s="147"/>
      <c r="AM20" s="147"/>
      <c r="AN20" s="112"/>
      <c r="AO20" s="112"/>
      <c r="AP20" s="108"/>
      <c r="AQ20" s="45">
        <v>0.38450000000000001</v>
      </c>
      <c r="AR20" s="46">
        <v>12.2563</v>
      </c>
      <c r="AS20" s="46">
        <v>0.2097</v>
      </c>
      <c r="AT20" s="46">
        <v>4.6750999999999996</v>
      </c>
      <c r="AU20" s="46">
        <v>1.4711000000000001</v>
      </c>
      <c r="AV20" s="47">
        <v>133.88229999999999</v>
      </c>
      <c r="AW20" s="46"/>
      <c r="AX20" s="46"/>
      <c r="AY20" s="48"/>
    </row>
    <row r="21" spans="1:51" customFormat="1" ht="14.25" customHeight="1" x14ac:dyDescent="0.45">
      <c r="A21" s="26">
        <f t="shared" ref="A21:I21" si="18">A20</f>
        <v>2024</v>
      </c>
      <c r="B21" s="27">
        <f t="shared" si="18"/>
        <v>11</v>
      </c>
      <c r="C21" s="27">
        <f t="shared" si="18"/>
        <v>26</v>
      </c>
      <c r="D21" s="28">
        <f t="shared" si="18"/>
        <v>0.63888888888888884</v>
      </c>
      <c r="E21" s="29">
        <f t="shared" si="18"/>
        <v>54</v>
      </c>
      <c r="F21" s="49">
        <f t="shared" si="18"/>
        <v>13.36421</v>
      </c>
      <c r="G21" s="31">
        <f t="shared" si="18"/>
        <v>100.86465</v>
      </c>
      <c r="H21" s="32">
        <f t="shared" si="18"/>
        <v>10</v>
      </c>
      <c r="I21" s="27">
        <f t="shared" si="18"/>
        <v>3</v>
      </c>
      <c r="J21" s="33" t="s">
        <v>52</v>
      </c>
      <c r="K21" s="32">
        <v>9</v>
      </c>
      <c r="L21" s="34"/>
      <c r="M21" s="35"/>
      <c r="N21" s="50">
        <f t="shared" si="17"/>
        <v>2.1</v>
      </c>
      <c r="O21" s="37">
        <v>29.4</v>
      </c>
      <c r="P21" s="38">
        <v>29.393999999999998</v>
      </c>
      <c r="Q21" s="51">
        <v>29.4</v>
      </c>
      <c r="R21" s="38">
        <v>8.16</v>
      </c>
      <c r="S21" s="38">
        <v>8.1</v>
      </c>
      <c r="T21" s="37">
        <v>28.5</v>
      </c>
      <c r="U21" s="38">
        <v>31.591999999999999</v>
      </c>
      <c r="V21" s="52">
        <v>31.45</v>
      </c>
      <c r="W21" s="38">
        <v>6.68</v>
      </c>
      <c r="X21" s="38">
        <v>5.9459999999999997</v>
      </c>
      <c r="Y21" s="38">
        <v>5.48</v>
      </c>
      <c r="Z21" s="38">
        <f t="shared" si="0"/>
        <v>5.5980086169484089</v>
      </c>
      <c r="AA21" s="41">
        <v>14.3</v>
      </c>
      <c r="AB21" s="53"/>
      <c r="AC21" s="42">
        <v>2.21</v>
      </c>
      <c r="AD21" s="43">
        <v>3.02</v>
      </c>
      <c r="AF21" s="115"/>
      <c r="AG21" s="143"/>
      <c r="AH21" s="117"/>
      <c r="AI21" s="113"/>
      <c r="AJ21" s="147"/>
      <c r="AK21" s="147"/>
      <c r="AL21" s="147"/>
      <c r="AM21" s="147"/>
      <c r="AN21" s="112"/>
      <c r="AO21" s="112"/>
      <c r="AP21" s="108"/>
      <c r="AQ21" s="45">
        <v>0.28789999999999999</v>
      </c>
      <c r="AR21" s="46">
        <v>11.993399999999999</v>
      </c>
      <c r="AS21" s="46">
        <v>0.2097</v>
      </c>
      <c r="AT21" s="46">
        <v>8.2713999999999999</v>
      </c>
      <c r="AU21" s="46">
        <v>1.8277000000000001</v>
      </c>
      <c r="AV21" s="47">
        <v>161.99340000000001</v>
      </c>
      <c r="AW21" s="46"/>
      <c r="AX21" s="46"/>
      <c r="AY21" s="48"/>
    </row>
    <row r="22" spans="1:51" customFormat="1" ht="14.25" customHeight="1" x14ac:dyDescent="0.45">
      <c r="A22" s="26">
        <v>2024</v>
      </c>
      <c r="B22" s="27">
        <v>11</v>
      </c>
      <c r="C22" s="27">
        <v>26</v>
      </c>
      <c r="D22" s="28">
        <v>0.70138888888888884</v>
      </c>
      <c r="E22" s="29">
        <v>55</v>
      </c>
      <c r="F22" s="30">
        <v>13.35821</v>
      </c>
      <c r="G22" s="31">
        <v>100.86703</v>
      </c>
      <c r="H22" s="32">
        <v>7.3</v>
      </c>
      <c r="I22" s="27">
        <v>3</v>
      </c>
      <c r="J22" s="33" t="s">
        <v>47</v>
      </c>
      <c r="K22" s="32">
        <v>1</v>
      </c>
      <c r="L22" s="34">
        <v>6</v>
      </c>
      <c r="M22" s="35" t="s">
        <v>48</v>
      </c>
      <c r="N22" s="36">
        <v>1.5</v>
      </c>
      <c r="O22" s="37">
        <v>29.5</v>
      </c>
      <c r="P22" s="38">
        <v>29.757000000000001</v>
      </c>
      <c r="Q22" s="51">
        <v>29.75</v>
      </c>
      <c r="R22" s="38">
        <v>8.35</v>
      </c>
      <c r="S22" s="38">
        <v>8.31</v>
      </c>
      <c r="T22" s="37">
        <v>27.5</v>
      </c>
      <c r="U22" s="38">
        <v>30.132999999999999</v>
      </c>
      <c r="V22" s="52">
        <v>30.17</v>
      </c>
      <c r="W22" s="38">
        <v>6.16</v>
      </c>
      <c r="X22" s="38">
        <v>11.712</v>
      </c>
      <c r="Y22" s="38">
        <v>10.15</v>
      </c>
      <c r="Z22" s="38">
        <f t="shared" si="0"/>
        <v>9.2701620712077641</v>
      </c>
      <c r="AA22" s="41">
        <v>8.9</v>
      </c>
      <c r="AB22" s="53">
        <v>15.395200000000001</v>
      </c>
      <c r="AC22" s="42">
        <v>12.78</v>
      </c>
      <c r="AD22" s="43">
        <v>13.82</v>
      </c>
      <c r="AE22" s="44" t="s">
        <v>49</v>
      </c>
      <c r="AF22" s="115"/>
      <c r="AG22" s="143"/>
      <c r="AH22" s="117"/>
      <c r="AI22" s="113"/>
      <c r="AJ22" s="148"/>
      <c r="AK22" s="148"/>
      <c r="AL22" s="147"/>
      <c r="AM22" s="147"/>
      <c r="AN22" s="112"/>
      <c r="AO22" s="112"/>
      <c r="AP22" s="108"/>
      <c r="AQ22" s="45">
        <v>0.23960000000000001</v>
      </c>
      <c r="AR22" s="46">
        <v>13.7462</v>
      </c>
      <c r="AS22" s="46">
        <v>0.2326</v>
      </c>
      <c r="AT22" s="46">
        <v>8.0465999999999998</v>
      </c>
      <c r="AU22" s="46">
        <v>1.2955000000000001</v>
      </c>
      <c r="AV22" s="47">
        <v>135.85720000000001</v>
      </c>
      <c r="AW22" s="46"/>
      <c r="AX22" s="46"/>
      <c r="AY22" s="48" t="s">
        <v>54</v>
      </c>
    </row>
    <row r="23" spans="1:51" customFormat="1" ht="14.25" customHeight="1" x14ac:dyDescent="0.45">
      <c r="A23" s="26">
        <f t="shared" ref="A23:I23" si="19">A22</f>
        <v>2024</v>
      </c>
      <c r="B23" s="27">
        <f t="shared" si="19"/>
        <v>11</v>
      </c>
      <c r="C23" s="27">
        <f t="shared" si="19"/>
        <v>26</v>
      </c>
      <c r="D23" s="28">
        <f t="shared" si="19"/>
        <v>0.70138888888888884</v>
      </c>
      <c r="E23" s="29">
        <f t="shared" si="19"/>
        <v>55</v>
      </c>
      <c r="F23" s="49">
        <f t="shared" si="19"/>
        <v>13.35821</v>
      </c>
      <c r="G23" s="31">
        <f t="shared" si="19"/>
        <v>100.86703</v>
      </c>
      <c r="H23" s="32">
        <f t="shared" si="19"/>
        <v>7.3</v>
      </c>
      <c r="I23" s="27">
        <f t="shared" si="19"/>
        <v>3</v>
      </c>
      <c r="J23" s="33" t="s">
        <v>51</v>
      </c>
      <c r="K23" s="32">
        <v>3</v>
      </c>
      <c r="L23" s="34"/>
      <c r="M23" s="35"/>
      <c r="N23" s="50">
        <f t="shared" ref="N23:N24" si="20">N22</f>
        <v>1.5</v>
      </c>
      <c r="O23" s="37">
        <v>29.5</v>
      </c>
      <c r="P23" s="38">
        <v>29.626000000000001</v>
      </c>
      <c r="Q23" s="51">
        <v>29.6</v>
      </c>
      <c r="R23" s="38">
        <v>8.26</v>
      </c>
      <c r="S23" s="38">
        <v>8.17</v>
      </c>
      <c r="T23" s="37">
        <v>27.6</v>
      </c>
      <c r="U23" s="38">
        <v>30.655999999999999</v>
      </c>
      <c r="V23" s="52">
        <v>30.73</v>
      </c>
      <c r="W23" s="38">
        <v>9.59</v>
      </c>
      <c r="X23" s="38">
        <v>9.0169999999999995</v>
      </c>
      <c r="Y23" s="38">
        <v>7.26</v>
      </c>
      <c r="Z23" s="38">
        <f t="shared" si="0"/>
        <v>6.9976731027260639</v>
      </c>
      <c r="AA23" s="41">
        <v>9.1</v>
      </c>
      <c r="AB23" s="53"/>
      <c r="AC23" s="42">
        <v>7.32</v>
      </c>
      <c r="AD23" s="43">
        <v>6.77</v>
      </c>
      <c r="AF23" s="115"/>
      <c r="AG23" s="143"/>
      <c r="AH23" s="117"/>
      <c r="AI23" s="113"/>
      <c r="AJ23" s="148"/>
      <c r="AK23" s="148"/>
      <c r="AL23" s="147"/>
      <c r="AM23" s="147"/>
      <c r="AN23" s="112"/>
      <c r="AO23" s="112"/>
      <c r="AP23" s="108"/>
      <c r="AQ23" s="45">
        <v>0.1913</v>
      </c>
      <c r="AR23" s="46">
        <v>15.761799999999999</v>
      </c>
      <c r="AS23" s="46">
        <v>0.16389999999999999</v>
      </c>
      <c r="AT23" s="46">
        <v>10.6089</v>
      </c>
      <c r="AU23" s="46">
        <v>1.466</v>
      </c>
      <c r="AV23" s="47">
        <v>191.55330000000001</v>
      </c>
      <c r="AW23" s="46"/>
      <c r="AX23" s="46"/>
      <c r="AY23" s="48"/>
    </row>
    <row r="24" spans="1:51" customFormat="1" ht="14.25" customHeight="1" x14ac:dyDescent="0.45">
      <c r="A24" s="26">
        <f t="shared" ref="A24:I24" si="21">A23</f>
        <v>2024</v>
      </c>
      <c r="B24" s="27">
        <f t="shared" si="21"/>
        <v>11</v>
      </c>
      <c r="C24" s="27">
        <f t="shared" si="21"/>
        <v>26</v>
      </c>
      <c r="D24" s="28">
        <f t="shared" si="21"/>
        <v>0.70138888888888884</v>
      </c>
      <c r="E24" s="29">
        <f t="shared" si="21"/>
        <v>55</v>
      </c>
      <c r="F24" s="49">
        <f t="shared" si="21"/>
        <v>13.35821</v>
      </c>
      <c r="G24" s="31">
        <f t="shared" si="21"/>
        <v>100.86703</v>
      </c>
      <c r="H24" s="32">
        <f t="shared" si="21"/>
        <v>7.3</v>
      </c>
      <c r="I24" s="27">
        <f t="shared" si="21"/>
        <v>3</v>
      </c>
      <c r="J24" s="33" t="s">
        <v>52</v>
      </c>
      <c r="K24" s="32">
        <v>6</v>
      </c>
      <c r="L24" s="34"/>
      <c r="M24" s="35"/>
      <c r="N24" s="50">
        <f t="shared" si="20"/>
        <v>1.5</v>
      </c>
      <c r="O24" s="37">
        <v>29.5</v>
      </c>
      <c r="P24" s="38">
        <v>29.457000000000001</v>
      </c>
      <c r="Q24" s="51">
        <v>29.46</v>
      </c>
      <c r="R24" s="38">
        <v>8.2200000000000006</v>
      </c>
      <c r="S24" s="38">
        <v>8.0500000000000007</v>
      </c>
      <c r="T24" s="37">
        <v>28</v>
      </c>
      <c r="U24" s="38">
        <v>31.446999999999999</v>
      </c>
      <c r="V24" s="52">
        <v>31.39</v>
      </c>
      <c r="W24" s="38">
        <v>6.36</v>
      </c>
      <c r="X24" s="38">
        <v>5.431</v>
      </c>
      <c r="Y24" s="38">
        <v>4.9000000000000004</v>
      </c>
      <c r="Z24" s="51">
        <f t="shared" si="0"/>
        <v>5.1419381665264758</v>
      </c>
      <c r="AA24" s="56">
        <v>9.3000000000000007</v>
      </c>
      <c r="AB24" s="53"/>
      <c r="AC24" s="42">
        <v>3.1</v>
      </c>
      <c r="AD24" s="43">
        <v>5.51</v>
      </c>
      <c r="AF24" s="115"/>
      <c r="AG24" s="143"/>
      <c r="AH24" s="117"/>
      <c r="AI24" s="113"/>
      <c r="AJ24" s="148"/>
      <c r="AK24" s="148"/>
      <c r="AL24" s="147"/>
      <c r="AM24" s="147"/>
      <c r="AN24" s="112"/>
      <c r="AO24" s="112"/>
      <c r="AP24" s="108"/>
      <c r="AQ24" s="45">
        <v>0.72260000000000002</v>
      </c>
      <c r="AR24" s="46">
        <v>16.112400000000001</v>
      </c>
      <c r="AS24" s="46">
        <v>0.2097</v>
      </c>
      <c r="AT24" s="46">
        <v>8.4512</v>
      </c>
      <c r="AU24" s="46">
        <v>1.4711000000000001</v>
      </c>
      <c r="AV24" s="47">
        <v>134.80080000000001</v>
      </c>
      <c r="AW24" s="46"/>
      <c r="AX24" s="46"/>
      <c r="AY24" s="48"/>
    </row>
    <row r="25" spans="1:51" customFormat="1" ht="14.25" customHeight="1" x14ac:dyDescent="0.45">
      <c r="A25" s="26">
        <v>2024</v>
      </c>
      <c r="B25" s="27">
        <v>11</v>
      </c>
      <c r="C25" s="27">
        <v>26</v>
      </c>
      <c r="D25" s="28">
        <v>0.75694444444444442</v>
      </c>
      <c r="E25" s="29">
        <v>56</v>
      </c>
      <c r="F25" s="30">
        <v>13.440670000000001</v>
      </c>
      <c r="G25" s="31">
        <v>100.92756</v>
      </c>
      <c r="H25" s="32">
        <v>5</v>
      </c>
      <c r="I25" s="27">
        <v>3</v>
      </c>
      <c r="J25" s="33" t="s">
        <v>47</v>
      </c>
      <c r="K25" s="32">
        <v>1</v>
      </c>
      <c r="L25" s="34">
        <v>5</v>
      </c>
      <c r="M25" s="35" t="s">
        <v>48</v>
      </c>
      <c r="N25" s="36"/>
      <c r="O25" s="37">
        <v>29.3</v>
      </c>
      <c r="P25" s="38">
        <v>29.562000000000001</v>
      </c>
      <c r="Q25" s="51">
        <v>29.41</v>
      </c>
      <c r="R25" s="38">
        <v>8.0399999999999991</v>
      </c>
      <c r="S25" s="38">
        <v>8.1300000000000008</v>
      </c>
      <c r="T25" s="37">
        <v>22.4</v>
      </c>
      <c r="U25" s="38">
        <v>27.684000000000001</v>
      </c>
      <c r="V25" s="52">
        <v>29.91</v>
      </c>
      <c r="W25" s="38">
        <v>8.2200000000000006</v>
      </c>
      <c r="X25" s="38">
        <v>9.9309999999999992</v>
      </c>
      <c r="Y25" s="38">
        <v>8.25</v>
      </c>
      <c r="Z25" s="51">
        <f t="shared" si="0"/>
        <v>7.7761381818945354</v>
      </c>
      <c r="AA25" s="41">
        <v>9</v>
      </c>
      <c r="AB25" s="53">
        <v>11.984299999999999</v>
      </c>
      <c r="AC25" s="42">
        <v>12.02</v>
      </c>
      <c r="AD25" s="43">
        <v>8.93</v>
      </c>
      <c r="AE25" s="44" t="s">
        <v>49</v>
      </c>
      <c r="AF25" s="115"/>
      <c r="AG25" s="143">
        <v>1848.4666322303124</v>
      </c>
      <c r="AH25" s="117">
        <v>7.9258481468455813</v>
      </c>
      <c r="AI25" s="113">
        <v>7.8594270432228894</v>
      </c>
      <c r="AJ25" s="148">
        <v>566.66273146014112</v>
      </c>
      <c r="AK25" s="148">
        <v>1550.5485923763479</v>
      </c>
      <c r="AL25" s="147">
        <v>119.43306686615617</v>
      </c>
      <c r="AM25" s="147">
        <v>14.899039788550784</v>
      </c>
      <c r="AN25" s="112">
        <v>3.0891220781484012</v>
      </c>
      <c r="AO25" s="112">
        <v>2.0223118310024133</v>
      </c>
      <c r="AP25" s="108">
        <f>SUM(AK25:AM25)</f>
        <v>1684.8806990310547</v>
      </c>
      <c r="AQ25" s="45">
        <v>1.3486</v>
      </c>
      <c r="AR25" s="46">
        <v>49.6648</v>
      </c>
      <c r="AS25" s="46">
        <v>1.4719</v>
      </c>
      <c r="AT25" s="46">
        <v>9.7098999999999993</v>
      </c>
      <c r="AU25" s="46">
        <v>7.0201000000000002</v>
      </c>
      <c r="AV25" s="47">
        <v>86.809399999999997</v>
      </c>
      <c r="AW25" s="46"/>
      <c r="AX25" s="46"/>
      <c r="AY25" s="48" t="s">
        <v>55</v>
      </c>
    </row>
    <row r="26" spans="1:51" customFormat="1" ht="14.25" customHeight="1" x14ac:dyDescent="0.45">
      <c r="A26" s="26">
        <f t="shared" ref="A26:I26" si="22">A25</f>
        <v>2024</v>
      </c>
      <c r="B26" s="27">
        <f t="shared" si="22"/>
        <v>11</v>
      </c>
      <c r="C26" s="27">
        <f t="shared" si="22"/>
        <v>26</v>
      </c>
      <c r="D26" s="28">
        <f t="shared" si="22"/>
        <v>0.75694444444444442</v>
      </c>
      <c r="E26" s="29">
        <f t="shared" si="22"/>
        <v>56</v>
      </c>
      <c r="F26" s="49">
        <f t="shared" si="22"/>
        <v>13.440670000000001</v>
      </c>
      <c r="G26" s="31">
        <f t="shared" si="22"/>
        <v>100.92756</v>
      </c>
      <c r="H26" s="32">
        <f t="shared" si="22"/>
        <v>5</v>
      </c>
      <c r="I26" s="27">
        <f t="shared" si="22"/>
        <v>3</v>
      </c>
      <c r="J26" s="33" t="s">
        <v>51</v>
      </c>
      <c r="K26" s="32">
        <v>2.5</v>
      </c>
      <c r="L26" s="34"/>
      <c r="M26" s="35"/>
      <c r="N26" s="50">
        <f t="shared" ref="N26:N27" si="23">N25</f>
        <v>0</v>
      </c>
      <c r="O26" s="37">
        <v>29.3</v>
      </c>
      <c r="P26" s="38">
        <v>29.393999999999998</v>
      </c>
      <c r="Q26" s="51">
        <v>29.42</v>
      </c>
      <c r="R26" s="38">
        <v>8.1</v>
      </c>
      <c r="S26" s="38">
        <v>8.11</v>
      </c>
      <c r="T26" s="37">
        <v>23.8</v>
      </c>
      <c r="U26" s="38">
        <v>30.292999999999999</v>
      </c>
      <c r="V26" s="52">
        <v>30.23</v>
      </c>
      <c r="W26" s="38">
        <v>9.27</v>
      </c>
      <c r="X26" s="38">
        <v>8.6760000000000002</v>
      </c>
      <c r="Y26" s="38">
        <v>8.19</v>
      </c>
      <c r="Z26" s="38">
        <f t="shared" si="0"/>
        <v>7.7289584801267486</v>
      </c>
      <c r="AA26" s="41">
        <v>10.95</v>
      </c>
      <c r="AB26" s="53"/>
      <c r="AC26" s="42">
        <v>11.84</v>
      </c>
      <c r="AD26" s="43">
        <v>11.93</v>
      </c>
      <c r="AF26" s="115"/>
      <c r="AG26" s="143">
        <v>1936.81670020409</v>
      </c>
      <c r="AH26" s="117">
        <v>7.9919524217344415</v>
      </c>
      <c r="AI26" s="113">
        <v>7.9270101951057192</v>
      </c>
      <c r="AJ26" s="148">
        <v>480.22047207467233</v>
      </c>
      <c r="AK26" s="148">
        <v>1562.1328612797652</v>
      </c>
      <c r="AL26" s="147">
        <v>149.57279467089057</v>
      </c>
      <c r="AM26" s="147">
        <v>12.511896741042305</v>
      </c>
      <c r="AN26" s="112">
        <v>3.7814551609051965</v>
      </c>
      <c r="AO26" s="112">
        <v>2.4981257574535394</v>
      </c>
      <c r="AP26" s="108">
        <f t="shared" ref="AP26:AP30" si="24">SUM(AK26:AM26)</f>
        <v>1724.2175526916981</v>
      </c>
      <c r="AQ26" s="45">
        <v>0.67230000000000001</v>
      </c>
      <c r="AR26" s="46">
        <v>30.472000000000001</v>
      </c>
      <c r="AS26" s="46">
        <v>0.877</v>
      </c>
      <c r="AT26" s="46">
        <v>8.4512</v>
      </c>
      <c r="AU26" s="46">
        <v>4.1553000000000004</v>
      </c>
      <c r="AV26" s="47">
        <v>144.97579999999999</v>
      </c>
      <c r="AW26" s="46"/>
      <c r="AX26" s="46"/>
      <c r="AY26" s="48"/>
    </row>
    <row r="27" spans="1:51" customFormat="1" ht="14.25" customHeight="1" x14ac:dyDescent="0.45">
      <c r="A27" s="26">
        <f t="shared" ref="A27:I27" si="25">A26</f>
        <v>2024</v>
      </c>
      <c r="B27" s="27">
        <f t="shared" si="25"/>
        <v>11</v>
      </c>
      <c r="C27" s="27">
        <f t="shared" si="25"/>
        <v>26</v>
      </c>
      <c r="D27" s="28">
        <f t="shared" si="25"/>
        <v>0.75694444444444442</v>
      </c>
      <c r="E27" s="29">
        <f t="shared" si="25"/>
        <v>56</v>
      </c>
      <c r="F27" s="49">
        <f t="shared" si="25"/>
        <v>13.440670000000001</v>
      </c>
      <c r="G27" s="31">
        <f t="shared" si="25"/>
        <v>100.92756</v>
      </c>
      <c r="H27" s="32">
        <f t="shared" si="25"/>
        <v>5</v>
      </c>
      <c r="I27" s="27">
        <f t="shared" si="25"/>
        <v>3</v>
      </c>
      <c r="J27" s="33" t="s">
        <v>52</v>
      </c>
      <c r="K27" s="32">
        <v>4</v>
      </c>
      <c r="L27" s="34"/>
      <c r="M27" s="35"/>
      <c r="N27" s="50">
        <f t="shared" si="23"/>
        <v>0</v>
      </c>
      <c r="O27" s="37">
        <v>29.3</v>
      </c>
      <c r="P27" s="38">
        <v>29.387</v>
      </c>
      <c r="Q27" s="51">
        <v>29.42</v>
      </c>
      <c r="R27" s="38">
        <v>8.1199999999999992</v>
      </c>
      <c r="S27" s="38">
        <v>7.93</v>
      </c>
      <c r="T27" s="37">
        <v>23.4</v>
      </c>
      <c r="U27" s="38">
        <v>30.524000000000001</v>
      </c>
      <c r="V27" s="52">
        <v>30.74</v>
      </c>
      <c r="W27" s="38">
        <v>8.01</v>
      </c>
      <c r="X27" s="38">
        <v>5.2009999999999996</v>
      </c>
      <c r="Y27" s="38">
        <v>4.04</v>
      </c>
      <c r="Z27" s="38">
        <f t="shared" si="0"/>
        <v>4.4656957745215404</v>
      </c>
      <c r="AA27" s="41">
        <v>13.2</v>
      </c>
      <c r="AB27" s="53"/>
      <c r="AC27" s="42">
        <v>8.0500000000000007</v>
      </c>
      <c r="AD27" s="43">
        <v>8.98</v>
      </c>
      <c r="AF27" s="115"/>
      <c r="AG27" s="143">
        <v>1931.8953623140719</v>
      </c>
      <c r="AH27" s="117">
        <v>7.9644164561413957</v>
      </c>
      <c r="AI27" s="113">
        <v>7.8998117555849312</v>
      </c>
      <c r="AJ27" s="148">
        <v>514.61448565678984</v>
      </c>
      <c r="AK27" s="148">
        <v>1574.6483851335313</v>
      </c>
      <c r="AL27" s="147">
        <v>142.42652019003626</v>
      </c>
      <c r="AM27" s="147">
        <v>13.39473222684612</v>
      </c>
      <c r="AN27" s="112">
        <v>3.5929356031390052</v>
      </c>
      <c r="AO27" s="112">
        <v>2.3753429573025748</v>
      </c>
      <c r="AP27" s="108">
        <f t="shared" si="24"/>
        <v>1730.4696375504136</v>
      </c>
      <c r="AQ27" s="45">
        <v>0.96220000000000006</v>
      </c>
      <c r="AR27" s="46">
        <v>35.555</v>
      </c>
      <c r="AS27" s="46">
        <v>1.1516</v>
      </c>
      <c r="AT27" s="46">
        <v>9.7098999999999993</v>
      </c>
      <c r="AU27" s="46">
        <v>4.9142000000000001</v>
      </c>
      <c r="AV27" s="47">
        <v>161.4761</v>
      </c>
      <c r="AW27" s="46"/>
      <c r="AX27" s="46"/>
      <c r="AY27" s="48"/>
    </row>
    <row r="28" spans="1:51" customFormat="1" ht="14.25" customHeight="1" x14ac:dyDescent="0.45">
      <c r="A28" s="26">
        <v>2024</v>
      </c>
      <c r="B28" s="54">
        <v>11</v>
      </c>
      <c r="C28" s="27">
        <v>27</v>
      </c>
      <c r="D28" s="28">
        <v>0.29166666666666669</v>
      </c>
      <c r="E28" s="29">
        <v>57</v>
      </c>
      <c r="F28" s="30">
        <v>13.469139999999999</v>
      </c>
      <c r="G28" s="31">
        <v>100.97126</v>
      </c>
      <c r="H28" s="32">
        <v>6.5</v>
      </c>
      <c r="I28" s="27">
        <v>3</v>
      </c>
      <c r="J28" s="33" t="s">
        <v>47</v>
      </c>
      <c r="K28" s="32">
        <v>1</v>
      </c>
      <c r="L28" s="34">
        <v>5</v>
      </c>
      <c r="M28" s="35" t="s">
        <v>48</v>
      </c>
      <c r="N28" s="36">
        <v>0.7</v>
      </c>
      <c r="O28" s="37">
        <v>28.7</v>
      </c>
      <c r="P28" s="38">
        <v>28.946000000000002</v>
      </c>
      <c r="Q28" s="51">
        <v>29</v>
      </c>
      <c r="R28" s="38">
        <v>7.69</v>
      </c>
      <c r="S28" s="38">
        <v>6.94</v>
      </c>
      <c r="T28" s="37">
        <v>20</v>
      </c>
      <c r="U28" s="38">
        <v>18.135000000000002</v>
      </c>
      <c r="V28" s="52">
        <v>20.29</v>
      </c>
      <c r="W28" s="38">
        <v>4.1399999999999997</v>
      </c>
      <c r="X28" s="38">
        <v>4.4950000000000001</v>
      </c>
      <c r="Y28" s="38">
        <v>4.26</v>
      </c>
      <c r="Z28" s="38">
        <f t="shared" si="0"/>
        <v>4.6386880143367559</v>
      </c>
      <c r="AA28" s="41">
        <v>12.64</v>
      </c>
      <c r="AB28" s="53">
        <v>8.5396000000000001</v>
      </c>
      <c r="AC28" s="42">
        <v>6.36</v>
      </c>
      <c r="AD28" s="43">
        <v>8.17</v>
      </c>
      <c r="AE28" s="44" t="s">
        <v>49</v>
      </c>
      <c r="AF28" s="115"/>
      <c r="AG28" s="143">
        <v>1729.1557087791712</v>
      </c>
      <c r="AH28" s="117">
        <v>7.4230735482877135</v>
      </c>
      <c r="AI28" s="113">
        <v>7.3788361204476312</v>
      </c>
      <c r="AJ28" s="148">
        <v>1994.0871578496815</v>
      </c>
      <c r="AK28" s="148">
        <v>1654.8002531256566</v>
      </c>
      <c r="AL28" s="147">
        <v>31.201967013403831</v>
      </c>
      <c r="AM28" s="147">
        <v>55.8096458016296</v>
      </c>
      <c r="AN28" s="112">
        <v>0.87538095555961881</v>
      </c>
      <c r="AO28" s="112">
        <v>0.54312194654423374</v>
      </c>
      <c r="AP28" s="108">
        <f t="shared" si="24"/>
        <v>1741.81186594069</v>
      </c>
      <c r="AQ28" s="45">
        <v>1.9302999999999999</v>
      </c>
      <c r="AR28" s="46">
        <v>75.741900000000001</v>
      </c>
      <c r="AS28" s="46">
        <v>1.4911000000000001</v>
      </c>
      <c r="AT28" s="46">
        <v>13.126300000000001</v>
      </c>
      <c r="AU28" s="46">
        <v>12.212999999999999</v>
      </c>
      <c r="AV28" s="47">
        <v>175.9281</v>
      </c>
      <c r="AW28" s="46"/>
      <c r="AX28" s="46"/>
      <c r="AY28" s="48" t="s">
        <v>56</v>
      </c>
    </row>
    <row r="29" spans="1:51" customFormat="1" ht="14.25" customHeight="1" x14ac:dyDescent="0.45">
      <c r="A29" s="26">
        <f t="shared" ref="A29:I29" si="26">A28</f>
        <v>2024</v>
      </c>
      <c r="B29" s="27">
        <f t="shared" si="26"/>
        <v>11</v>
      </c>
      <c r="C29" s="27">
        <f t="shared" si="26"/>
        <v>27</v>
      </c>
      <c r="D29" s="28">
        <f t="shared" si="26"/>
        <v>0.29166666666666669</v>
      </c>
      <c r="E29" s="29">
        <f t="shared" si="26"/>
        <v>57</v>
      </c>
      <c r="F29" s="49">
        <f t="shared" si="26"/>
        <v>13.469139999999999</v>
      </c>
      <c r="G29" s="31">
        <f t="shared" si="26"/>
        <v>100.97126</v>
      </c>
      <c r="H29" s="32">
        <f t="shared" si="26"/>
        <v>6.5</v>
      </c>
      <c r="I29" s="27">
        <f t="shared" si="26"/>
        <v>3</v>
      </c>
      <c r="J29" s="33" t="s">
        <v>51</v>
      </c>
      <c r="K29" s="32">
        <v>3</v>
      </c>
      <c r="L29" s="34"/>
      <c r="M29" s="35"/>
      <c r="N29" s="50">
        <f t="shared" ref="N29:N30" si="27">N28</f>
        <v>0.7</v>
      </c>
      <c r="O29" s="37">
        <v>28.8</v>
      </c>
      <c r="P29" s="38">
        <v>29.475999999999999</v>
      </c>
      <c r="Q29" s="51">
        <v>29.48</v>
      </c>
      <c r="R29" s="38">
        <v>7.78</v>
      </c>
      <c r="S29" s="38">
        <v>7.78</v>
      </c>
      <c r="T29" s="37">
        <v>23.6</v>
      </c>
      <c r="U29" s="38">
        <v>30.198</v>
      </c>
      <c r="V29" s="52">
        <v>30.24</v>
      </c>
      <c r="W29" s="38">
        <v>5.36</v>
      </c>
      <c r="X29" s="38">
        <v>4.2839999999999998</v>
      </c>
      <c r="Y29" s="38">
        <v>5.32</v>
      </c>
      <c r="Z29" s="38">
        <f t="shared" si="0"/>
        <v>5.4721960789009785</v>
      </c>
      <c r="AA29" s="41">
        <v>12.64</v>
      </c>
      <c r="AB29" s="53"/>
      <c r="AC29" s="42">
        <v>11.12</v>
      </c>
      <c r="AD29" s="43">
        <v>11.85</v>
      </c>
      <c r="AF29" s="115"/>
      <c r="AG29" s="143">
        <v>1982.1704026665843</v>
      </c>
      <c r="AH29" s="117">
        <v>7.7500447546028184</v>
      </c>
      <c r="AI29" s="113">
        <v>7.6872900124365353</v>
      </c>
      <c r="AJ29" s="148">
        <v>931.50329164105972</v>
      </c>
      <c r="AK29" s="148">
        <v>1743.1305061114215</v>
      </c>
      <c r="AL29" s="147">
        <v>96.159657333772827</v>
      </c>
      <c r="AM29" s="147">
        <v>24.234852788130624</v>
      </c>
      <c r="AN29" s="112">
        <v>2.4334929364419144</v>
      </c>
      <c r="AO29" s="112">
        <v>1.6075635870350018</v>
      </c>
      <c r="AP29" s="108">
        <f t="shared" si="24"/>
        <v>1863.525016233325</v>
      </c>
      <c r="AQ29" s="45">
        <v>0.91579999999999995</v>
      </c>
      <c r="AR29" s="46">
        <v>24.0352</v>
      </c>
      <c r="AS29" s="46">
        <v>0.53</v>
      </c>
      <c r="AT29" s="46">
        <v>5.3045</v>
      </c>
      <c r="AU29" s="46">
        <v>3.3115999999999999</v>
      </c>
      <c r="AV29" s="47">
        <v>158.05779999999999</v>
      </c>
      <c r="AW29" s="46"/>
      <c r="AX29" s="46"/>
      <c r="AY29" s="48"/>
    </row>
    <row r="30" spans="1:51" customFormat="1" ht="14.25" customHeight="1" x14ac:dyDescent="0.45">
      <c r="A30" s="26">
        <f t="shared" ref="A30:I30" si="28">A29</f>
        <v>2024</v>
      </c>
      <c r="B30" s="27">
        <f t="shared" si="28"/>
        <v>11</v>
      </c>
      <c r="C30" s="27">
        <f t="shared" si="28"/>
        <v>27</v>
      </c>
      <c r="D30" s="28">
        <f t="shared" si="28"/>
        <v>0.29166666666666669</v>
      </c>
      <c r="E30" s="29">
        <f t="shared" si="28"/>
        <v>57</v>
      </c>
      <c r="F30" s="49">
        <f t="shared" si="28"/>
        <v>13.469139999999999</v>
      </c>
      <c r="G30" s="31">
        <f t="shared" si="28"/>
        <v>100.97126</v>
      </c>
      <c r="H30" s="32">
        <f t="shared" si="28"/>
        <v>6.5</v>
      </c>
      <c r="I30" s="27">
        <f t="shared" si="28"/>
        <v>3</v>
      </c>
      <c r="J30" s="33" t="s">
        <v>52</v>
      </c>
      <c r="K30" s="32">
        <v>5</v>
      </c>
      <c r="L30" s="34"/>
      <c r="M30" s="35"/>
      <c r="N30" s="50">
        <f t="shared" si="27"/>
        <v>0.7</v>
      </c>
      <c r="O30" s="37">
        <v>28.8</v>
      </c>
      <c r="P30" s="38">
        <v>29.527999999999999</v>
      </c>
      <c r="Q30" s="51">
        <v>29.53</v>
      </c>
      <c r="R30" s="38">
        <v>7.79</v>
      </c>
      <c r="S30" s="38">
        <v>7.94</v>
      </c>
      <c r="T30" s="37">
        <v>26.1</v>
      </c>
      <c r="U30" s="38">
        <v>30.428999999999998</v>
      </c>
      <c r="V30" s="52">
        <v>30.38</v>
      </c>
      <c r="W30" s="38">
        <v>5.59</v>
      </c>
      <c r="X30" s="38">
        <v>6.4669999999999996</v>
      </c>
      <c r="Y30" s="38">
        <v>6.07</v>
      </c>
      <c r="Z30" s="38">
        <f t="shared" si="0"/>
        <v>6.0619423509983053</v>
      </c>
      <c r="AA30" s="41">
        <v>14.57</v>
      </c>
      <c r="AB30" s="53"/>
      <c r="AC30" s="42">
        <v>9.94</v>
      </c>
      <c r="AD30" s="43">
        <v>12.21</v>
      </c>
      <c r="AF30" s="115"/>
      <c r="AG30" s="143">
        <v>1971.029476505792</v>
      </c>
      <c r="AH30" s="117">
        <v>7.782231438828263</v>
      </c>
      <c r="AI30" s="113">
        <v>7.7180743125342053</v>
      </c>
      <c r="AJ30" s="148">
        <v>853.18830561567108</v>
      </c>
      <c r="AK30" s="148">
        <v>1715.8424556468724</v>
      </c>
      <c r="AL30" s="147">
        <v>102.40867230456314</v>
      </c>
      <c r="AM30" s="147">
        <v>22.144841387279495</v>
      </c>
      <c r="AN30" s="112">
        <v>2.5862737695759583</v>
      </c>
      <c r="AO30" s="112">
        <v>1.7101072125811876</v>
      </c>
      <c r="AP30" s="108">
        <f t="shared" si="24"/>
        <v>1840.3959693387151</v>
      </c>
      <c r="AQ30" s="45">
        <v>0.81920000000000004</v>
      </c>
      <c r="AR30" s="46">
        <v>23.597000000000001</v>
      </c>
      <c r="AS30" s="46">
        <v>0.57579999999999998</v>
      </c>
      <c r="AT30" s="46">
        <v>4.0457999999999998</v>
      </c>
      <c r="AU30" s="46">
        <v>3.2658</v>
      </c>
      <c r="AV30" s="47">
        <v>114.4889</v>
      </c>
      <c r="AW30" s="46"/>
      <c r="AX30" s="46"/>
      <c r="AY30" s="48"/>
    </row>
    <row r="31" spans="1:51" customFormat="1" ht="14.25" customHeight="1" x14ac:dyDescent="0.45">
      <c r="A31" s="26">
        <v>2024</v>
      </c>
      <c r="B31" s="27">
        <v>11</v>
      </c>
      <c r="C31" s="27">
        <v>27</v>
      </c>
      <c r="D31" s="28">
        <v>0.38055555555555554</v>
      </c>
      <c r="E31" s="29" t="s">
        <v>57</v>
      </c>
      <c r="F31" s="30">
        <v>13.43261</v>
      </c>
      <c r="G31" s="31">
        <v>100.86459000000001</v>
      </c>
      <c r="H31" s="32">
        <v>4.7</v>
      </c>
      <c r="I31" s="27">
        <v>2</v>
      </c>
      <c r="J31" s="33" t="s">
        <v>47</v>
      </c>
      <c r="K31" s="32">
        <v>1</v>
      </c>
      <c r="L31" s="34">
        <v>8</v>
      </c>
      <c r="M31" s="35" t="s">
        <v>48</v>
      </c>
      <c r="N31" s="36">
        <v>1.1000000000000001</v>
      </c>
      <c r="O31" s="37">
        <v>28.8</v>
      </c>
      <c r="P31" s="38">
        <v>29.024000000000001</v>
      </c>
      <c r="Q31" s="51">
        <v>29.03</v>
      </c>
      <c r="R31" s="38">
        <v>7.99</v>
      </c>
      <c r="S31" s="38">
        <v>8.09</v>
      </c>
      <c r="T31" s="37">
        <v>26.3</v>
      </c>
      <c r="U31" s="38">
        <v>28.823</v>
      </c>
      <c r="V31" s="52">
        <v>28.81</v>
      </c>
      <c r="W31" s="38"/>
      <c r="X31" s="38">
        <v>7.08</v>
      </c>
      <c r="Y31" s="38">
        <v>6.94</v>
      </c>
      <c r="Z31" s="38">
        <f t="shared" si="0"/>
        <v>6.7460480266312048</v>
      </c>
      <c r="AA31" s="41"/>
      <c r="AB31" s="53"/>
      <c r="AC31" s="42">
        <v>10.46</v>
      </c>
      <c r="AD31" s="43">
        <v>12.45</v>
      </c>
      <c r="AF31" s="115"/>
      <c r="AG31" s="143"/>
      <c r="AH31" s="117"/>
      <c r="AI31" s="113"/>
      <c r="AJ31" s="148"/>
      <c r="AK31" s="148"/>
      <c r="AL31" s="147"/>
      <c r="AM31" s="147"/>
      <c r="AN31" s="112"/>
      <c r="AO31" s="112"/>
      <c r="AP31" s="108"/>
      <c r="AQ31" s="45"/>
      <c r="AR31" s="46"/>
      <c r="AS31" s="46"/>
      <c r="AT31" s="46"/>
      <c r="AU31" s="46"/>
      <c r="AV31" s="47"/>
      <c r="AW31" s="46"/>
      <c r="AX31" s="46"/>
      <c r="AY31" s="48" t="s">
        <v>58</v>
      </c>
    </row>
    <row r="32" spans="1:51" customFormat="1" ht="14.25" customHeight="1" x14ac:dyDescent="0.45">
      <c r="A32" s="26">
        <f t="shared" ref="A32:I32" si="29">A31</f>
        <v>2024</v>
      </c>
      <c r="B32" s="27">
        <f t="shared" si="29"/>
        <v>11</v>
      </c>
      <c r="C32" s="27">
        <f t="shared" si="29"/>
        <v>27</v>
      </c>
      <c r="D32" s="28">
        <f t="shared" si="29"/>
        <v>0.38055555555555554</v>
      </c>
      <c r="E32" s="29" t="str">
        <f t="shared" si="29"/>
        <v>C44</v>
      </c>
      <c r="F32" s="49">
        <f t="shared" si="29"/>
        <v>13.43261</v>
      </c>
      <c r="G32" s="31">
        <f t="shared" si="29"/>
        <v>100.86459000000001</v>
      </c>
      <c r="H32" s="32">
        <f t="shared" si="29"/>
        <v>4.7</v>
      </c>
      <c r="I32" s="27">
        <f t="shared" si="29"/>
        <v>2</v>
      </c>
      <c r="J32" s="33" t="s">
        <v>51</v>
      </c>
      <c r="K32" s="32"/>
      <c r="L32" s="34"/>
      <c r="M32" s="35"/>
      <c r="N32" s="50">
        <f t="shared" ref="N32:N33" si="30">N31</f>
        <v>1.1000000000000001</v>
      </c>
      <c r="O32" s="37"/>
      <c r="P32" s="38"/>
      <c r="Q32" s="51"/>
      <c r="R32" s="38"/>
      <c r="T32" s="37"/>
      <c r="U32" s="38"/>
      <c r="V32" s="52"/>
      <c r="W32" s="38"/>
      <c r="X32" s="38"/>
      <c r="Y32" s="38"/>
      <c r="Z32" s="38"/>
      <c r="AA32" s="41"/>
      <c r="AB32" s="53"/>
      <c r="AC32" s="42"/>
      <c r="AD32" s="43"/>
      <c r="AF32" s="115"/>
      <c r="AG32" s="143"/>
      <c r="AH32" s="117"/>
      <c r="AI32" s="113"/>
      <c r="AJ32" s="148"/>
      <c r="AK32" s="148"/>
      <c r="AL32" s="147"/>
      <c r="AM32" s="147"/>
      <c r="AN32" s="112"/>
      <c r="AO32" s="112"/>
      <c r="AP32" s="108"/>
      <c r="AQ32" s="45"/>
      <c r="AR32" s="46"/>
      <c r="AS32" s="46"/>
      <c r="AT32" s="46"/>
      <c r="AU32" s="46"/>
      <c r="AV32" s="47"/>
      <c r="AW32" s="46"/>
      <c r="AX32" s="46"/>
      <c r="AY32" s="48"/>
    </row>
    <row r="33" spans="1:51" customFormat="1" ht="14.25" customHeight="1" x14ac:dyDescent="0.45">
      <c r="A33" s="26">
        <f t="shared" ref="A33:I33" si="31">A32</f>
        <v>2024</v>
      </c>
      <c r="B33" s="27">
        <f t="shared" si="31"/>
        <v>11</v>
      </c>
      <c r="C33" s="27">
        <f t="shared" si="31"/>
        <v>27</v>
      </c>
      <c r="D33" s="28">
        <f t="shared" si="31"/>
        <v>0.38055555555555554</v>
      </c>
      <c r="E33" s="29" t="str">
        <f t="shared" si="31"/>
        <v>C44</v>
      </c>
      <c r="F33" s="49">
        <f t="shared" si="31"/>
        <v>13.43261</v>
      </c>
      <c r="G33" s="31">
        <f t="shared" si="31"/>
        <v>100.86459000000001</v>
      </c>
      <c r="H33" s="32">
        <f t="shared" si="31"/>
        <v>4.7</v>
      </c>
      <c r="I33" s="27">
        <f t="shared" si="31"/>
        <v>2</v>
      </c>
      <c r="J33" s="33" t="s">
        <v>52</v>
      </c>
      <c r="K33" s="32">
        <v>4</v>
      </c>
      <c r="L33" s="34"/>
      <c r="M33" s="35"/>
      <c r="N33" s="50">
        <f t="shared" si="30"/>
        <v>1.1000000000000001</v>
      </c>
      <c r="O33" s="37">
        <v>29.2</v>
      </c>
      <c r="P33" s="38">
        <v>29.542000000000002</v>
      </c>
      <c r="Q33" s="51">
        <v>29.55</v>
      </c>
      <c r="R33" s="38">
        <v>7.9</v>
      </c>
      <c r="S33" s="38">
        <v>7.95</v>
      </c>
      <c r="T33" s="37">
        <v>28.1</v>
      </c>
      <c r="U33" s="38">
        <v>31.373999999999999</v>
      </c>
      <c r="V33" s="52">
        <v>31.33</v>
      </c>
      <c r="W33" s="38"/>
      <c r="X33" s="38">
        <v>3.448</v>
      </c>
      <c r="Y33" s="38">
        <v>3.14</v>
      </c>
      <c r="Z33" s="38">
        <f t="shared" ref="Z33:Z58" si="32">Y33*$W$1+$Y$1</f>
        <v>3.7580002480047487</v>
      </c>
      <c r="AA33" s="41"/>
      <c r="AB33" s="53"/>
      <c r="AC33" s="42">
        <v>2.4500000000000002</v>
      </c>
      <c r="AD33" s="43">
        <v>3.36</v>
      </c>
      <c r="AF33" s="115"/>
      <c r="AG33" s="143"/>
      <c r="AH33" s="117"/>
      <c r="AI33" s="113"/>
      <c r="AJ33" s="147"/>
      <c r="AK33" s="147"/>
      <c r="AL33" s="147"/>
      <c r="AM33" s="147"/>
      <c r="AN33" s="112"/>
      <c r="AO33" s="112"/>
      <c r="AP33" s="108"/>
      <c r="AQ33" s="45"/>
      <c r="AR33" s="46"/>
      <c r="AS33" s="46"/>
      <c r="AT33" s="46"/>
      <c r="AU33" s="46"/>
      <c r="AV33" s="47"/>
      <c r="AW33" s="46"/>
      <c r="AX33" s="46"/>
      <c r="AY33" s="48"/>
    </row>
    <row r="34" spans="1:51" customFormat="1" ht="14.25" customHeight="1" x14ac:dyDescent="0.45">
      <c r="A34" s="26">
        <v>2024</v>
      </c>
      <c r="B34" s="27">
        <v>11</v>
      </c>
      <c r="C34" s="27">
        <v>27</v>
      </c>
      <c r="D34" s="28">
        <v>0.41666666666666669</v>
      </c>
      <c r="E34" s="29">
        <v>53</v>
      </c>
      <c r="F34" s="30">
        <v>13.41452</v>
      </c>
      <c r="G34" s="31">
        <v>100.79777</v>
      </c>
      <c r="H34" s="32">
        <v>10</v>
      </c>
      <c r="I34" s="27">
        <v>3</v>
      </c>
      <c r="J34" s="33" t="s">
        <v>47</v>
      </c>
      <c r="K34" s="32">
        <v>1</v>
      </c>
      <c r="L34" s="34">
        <v>2</v>
      </c>
      <c r="M34" s="35" t="s">
        <v>48</v>
      </c>
      <c r="N34" s="36">
        <v>2.6</v>
      </c>
      <c r="O34" s="37">
        <v>29.2</v>
      </c>
      <c r="P34" s="38">
        <v>29.126999999999999</v>
      </c>
      <c r="Q34" s="51">
        <v>29.13</v>
      </c>
      <c r="R34" s="38">
        <v>8.1</v>
      </c>
      <c r="S34" s="38">
        <v>8.15</v>
      </c>
      <c r="T34" s="37">
        <v>27.3</v>
      </c>
      <c r="U34" s="38">
        <v>29.783999999999999</v>
      </c>
      <c r="V34" s="52">
        <v>29.81</v>
      </c>
      <c r="W34" s="38">
        <v>6.33</v>
      </c>
      <c r="X34" s="38">
        <v>9.2059999999999995</v>
      </c>
      <c r="Y34" s="38">
        <v>8.27</v>
      </c>
      <c r="Z34" s="38">
        <f t="shared" si="32"/>
        <v>7.7918647491504638</v>
      </c>
      <c r="AA34" s="41">
        <v>4.3499999999999996</v>
      </c>
      <c r="AB34" s="53">
        <v>10.253399999999999</v>
      </c>
      <c r="AC34" s="42">
        <v>5.54</v>
      </c>
      <c r="AD34" s="43">
        <v>7.05</v>
      </c>
      <c r="AE34" s="44" t="s">
        <v>49</v>
      </c>
      <c r="AF34" s="120"/>
      <c r="AG34" s="143"/>
      <c r="AH34" s="117"/>
      <c r="AI34" s="113"/>
      <c r="AJ34" s="147"/>
      <c r="AK34" s="147"/>
      <c r="AL34" s="147"/>
      <c r="AM34" s="147"/>
      <c r="AN34" s="112"/>
      <c r="AO34" s="112"/>
      <c r="AP34" s="108"/>
      <c r="AQ34" s="45">
        <v>0.1429</v>
      </c>
      <c r="AR34" s="46">
        <v>6.9457000000000004</v>
      </c>
      <c r="AS34" s="46">
        <v>0.36980000000000002</v>
      </c>
      <c r="AT34" s="46">
        <v>1.0339</v>
      </c>
      <c r="AU34" s="46">
        <v>0.95440000000000003</v>
      </c>
      <c r="AV34" s="47">
        <v>73.103300000000004</v>
      </c>
      <c r="AW34" s="46"/>
      <c r="AX34" s="46"/>
      <c r="AY34" s="48" t="s">
        <v>59</v>
      </c>
    </row>
    <row r="35" spans="1:51" customFormat="1" ht="14.25" customHeight="1" x14ac:dyDescent="0.45">
      <c r="A35" s="26">
        <f t="shared" ref="A35:I35" si="33">A34</f>
        <v>2024</v>
      </c>
      <c r="B35" s="27">
        <f t="shared" si="33"/>
        <v>11</v>
      </c>
      <c r="C35" s="27">
        <f t="shared" si="33"/>
        <v>27</v>
      </c>
      <c r="D35" s="28">
        <f t="shared" si="33"/>
        <v>0.41666666666666669</v>
      </c>
      <c r="E35" s="29">
        <f t="shared" si="33"/>
        <v>53</v>
      </c>
      <c r="F35" s="49">
        <f t="shared" si="33"/>
        <v>13.41452</v>
      </c>
      <c r="G35" s="31">
        <f t="shared" si="33"/>
        <v>100.79777</v>
      </c>
      <c r="H35" s="32">
        <f t="shared" si="33"/>
        <v>10</v>
      </c>
      <c r="I35" s="27">
        <f t="shared" si="33"/>
        <v>3</v>
      </c>
      <c r="J35" s="33" t="s">
        <v>51</v>
      </c>
      <c r="K35" s="32">
        <v>5</v>
      </c>
      <c r="L35" s="34"/>
      <c r="M35" s="35"/>
      <c r="N35" s="50">
        <f t="shared" ref="N35:N36" si="34">N34</f>
        <v>2.6</v>
      </c>
      <c r="O35" s="37">
        <v>29.1</v>
      </c>
      <c r="P35" s="38">
        <v>29.384</v>
      </c>
      <c r="Q35" s="51">
        <v>29.41</v>
      </c>
      <c r="R35" s="38">
        <v>8.07</v>
      </c>
      <c r="S35" s="38">
        <v>8.11</v>
      </c>
      <c r="T35" s="37">
        <v>27.4</v>
      </c>
      <c r="U35" s="38">
        <v>31.297000000000001</v>
      </c>
      <c r="V35" s="52">
        <v>31.36</v>
      </c>
      <c r="W35" s="38">
        <v>7.17</v>
      </c>
      <c r="X35" s="38">
        <v>7.07</v>
      </c>
      <c r="Y35" s="38">
        <v>6.28</v>
      </c>
      <c r="Z35" s="38">
        <f t="shared" si="32"/>
        <v>6.2270713071855575</v>
      </c>
      <c r="AA35" s="41">
        <v>6.15</v>
      </c>
      <c r="AB35" s="53"/>
      <c r="AC35" s="42">
        <v>3.47</v>
      </c>
      <c r="AD35" s="43">
        <v>3.52</v>
      </c>
      <c r="AF35" s="115"/>
      <c r="AG35" s="143"/>
      <c r="AH35" s="117"/>
      <c r="AI35" s="113"/>
      <c r="AJ35" s="147"/>
      <c r="AK35" s="147"/>
      <c r="AL35" s="147"/>
      <c r="AM35" s="147"/>
      <c r="AN35" s="112"/>
      <c r="AO35" s="112"/>
      <c r="AP35" s="108"/>
      <c r="AQ35" s="45">
        <v>0.1671</v>
      </c>
      <c r="AR35" s="46">
        <v>9.5748999999999995</v>
      </c>
      <c r="AS35" s="46">
        <v>0.14099999999999999</v>
      </c>
      <c r="AT35" s="46">
        <v>0.80920000000000003</v>
      </c>
      <c r="AU35" s="46">
        <v>1.1323000000000001</v>
      </c>
      <c r="AV35" s="47">
        <v>112.039</v>
      </c>
      <c r="AW35" s="46"/>
      <c r="AX35" s="46"/>
      <c r="AY35" s="48"/>
    </row>
    <row r="36" spans="1:51" customFormat="1" ht="14.25" customHeight="1" x14ac:dyDescent="0.45">
      <c r="A36" s="26">
        <f t="shared" ref="A36:I36" si="35">A35</f>
        <v>2024</v>
      </c>
      <c r="B36" s="27">
        <f t="shared" si="35"/>
        <v>11</v>
      </c>
      <c r="C36" s="27">
        <f t="shared" si="35"/>
        <v>27</v>
      </c>
      <c r="D36" s="28">
        <f t="shared" si="35"/>
        <v>0.41666666666666669</v>
      </c>
      <c r="E36" s="29">
        <f t="shared" si="35"/>
        <v>53</v>
      </c>
      <c r="F36" s="49">
        <f t="shared" si="35"/>
        <v>13.41452</v>
      </c>
      <c r="G36" s="31">
        <f t="shared" si="35"/>
        <v>100.79777</v>
      </c>
      <c r="H36" s="32">
        <f t="shared" si="35"/>
        <v>10</v>
      </c>
      <c r="I36" s="27">
        <f t="shared" si="35"/>
        <v>3</v>
      </c>
      <c r="J36" s="33" t="s">
        <v>52</v>
      </c>
      <c r="K36" s="32">
        <v>9</v>
      </c>
      <c r="L36" s="34"/>
      <c r="M36" s="35"/>
      <c r="N36" s="50">
        <f t="shared" si="34"/>
        <v>2.6</v>
      </c>
      <c r="O36" s="37">
        <v>29</v>
      </c>
      <c r="P36" s="38">
        <v>29.440999999999999</v>
      </c>
      <c r="Q36" s="51">
        <v>29.44</v>
      </c>
      <c r="R36" s="38">
        <v>8.0399999999999991</v>
      </c>
      <c r="S36" s="38">
        <v>8.11</v>
      </c>
      <c r="T36" s="37">
        <v>28</v>
      </c>
      <c r="U36" s="38">
        <v>31.526</v>
      </c>
      <c r="V36" s="52">
        <v>31.47</v>
      </c>
      <c r="W36" s="38">
        <v>6.47</v>
      </c>
      <c r="X36" s="38">
        <v>6.5350000000000001</v>
      </c>
      <c r="Y36" s="38">
        <v>5.96</v>
      </c>
      <c r="Z36" s="38">
        <f t="shared" si="32"/>
        <v>5.9754462310906975</v>
      </c>
      <c r="AA36" s="41">
        <v>6.4</v>
      </c>
      <c r="AB36" s="53"/>
      <c r="AC36" s="42">
        <v>1.93</v>
      </c>
      <c r="AD36" s="43">
        <v>4.51</v>
      </c>
      <c r="AF36" s="115"/>
      <c r="AG36" s="143"/>
      <c r="AH36" s="117"/>
      <c r="AI36" s="113"/>
      <c r="AJ36" s="147"/>
      <c r="AK36" s="147"/>
      <c r="AL36" s="147"/>
      <c r="AM36" s="147"/>
      <c r="AN36" s="112"/>
      <c r="AO36" s="112"/>
      <c r="AP36" s="108"/>
      <c r="AQ36" s="45">
        <v>0.1429</v>
      </c>
      <c r="AR36" s="46">
        <v>10.4513</v>
      </c>
      <c r="AS36" s="46">
        <v>0.18679999999999999</v>
      </c>
      <c r="AT36" s="46">
        <v>0.80920000000000003</v>
      </c>
      <c r="AU36" s="46">
        <v>1.3411999999999999</v>
      </c>
      <c r="AV36" s="47">
        <v>106.20440000000001</v>
      </c>
      <c r="AW36" s="46"/>
      <c r="AX36" s="46"/>
      <c r="AY36" s="48"/>
    </row>
    <row r="37" spans="1:51" customFormat="1" ht="14.25" customHeight="1" x14ac:dyDescent="0.45">
      <c r="A37" s="26">
        <v>2024</v>
      </c>
      <c r="B37" s="27">
        <v>11</v>
      </c>
      <c r="C37" s="27">
        <v>27</v>
      </c>
      <c r="D37" s="28">
        <v>0.4513888888888889</v>
      </c>
      <c r="E37" s="29" t="s">
        <v>60</v>
      </c>
      <c r="F37" s="30">
        <v>13.42043</v>
      </c>
      <c r="G37" s="31">
        <v>100.79777</v>
      </c>
      <c r="H37" s="32">
        <v>11.4</v>
      </c>
      <c r="I37" s="27">
        <v>3</v>
      </c>
      <c r="J37" s="33" t="s">
        <v>47</v>
      </c>
      <c r="K37" s="32">
        <v>1</v>
      </c>
      <c r="L37" s="34">
        <v>6</v>
      </c>
      <c r="M37" s="35" t="s">
        <v>48</v>
      </c>
      <c r="N37" s="36">
        <v>2</v>
      </c>
      <c r="O37" s="37">
        <v>29</v>
      </c>
      <c r="P37" s="38">
        <v>29.329000000000001</v>
      </c>
      <c r="Q37" s="51">
        <v>29.34</v>
      </c>
      <c r="R37" s="38">
        <v>8.11</v>
      </c>
      <c r="S37" s="38">
        <v>8.18</v>
      </c>
      <c r="T37" s="37">
        <v>28.2</v>
      </c>
      <c r="U37" s="38">
        <v>30.824000000000002</v>
      </c>
      <c r="V37" s="52">
        <v>30.79</v>
      </c>
      <c r="W37" s="38"/>
      <c r="X37" s="38">
        <v>8.7080000000000002</v>
      </c>
      <c r="Y37" s="38">
        <v>7.89</v>
      </c>
      <c r="Z37" s="38">
        <f t="shared" si="32"/>
        <v>7.4930599712878188</v>
      </c>
      <c r="AA37" s="41"/>
      <c r="AB37" s="53"/>
      <c r="AC37" s="42">
        <v>2.58</v>
      </c>
      <c r="AD37" s="43">
        <v>3.44</v>
      </c>
      <c r="AE37" s="44"/>
      <c r="AF37" s="120"/>
      <c r="AG37" s="143"/>
      <c r="AH37" s="117"/>
      <c r="AI37" s="113"/>
      <c r="AJ37" s="147"/>
      <c r="AK37" s="147"/>
      <c r="AL37" s="147"/>
      <c r="AM37" s="147"/>
      <c r="AN37" s="112"/>
      <c r="AO37" s="112"/>
      <c r="AP37" s="108"/>
      <c r="AQ37" s="45"/>
      <c r="AR37" s="46"/>
      <c r="AS37" s="46"/>
      <c r="AT37" s="46"/>
      <c r="AU37" s="46"/>
      <c r="AV37" s="47"/>
      <c r="AW37" s="46"/>
      <c r="AX37" s="46"/>
      <c r="AY37" s="48" t="s">
        <v>61</v>
      </c>
    </row>
    <row r="38" spans="1:51" customFormat="1" ht="14.25" customHeight="1" x14ac:dyDescent="0.45">
      <c r="A38" s="26">
        <f t="shared" ref="A38:I38" si="36">A37</f>
        <v>2024</v>
      </c>
      <c r="B38" s="27">
        <f t="shared" si="36"/>
        <v>11</v>
      </c>
      <c r="C38" s="27">
        <f t="shared" si="36"/>
        <v>27</v>
      </c>
      <c r="D38" s="28">
        <f t="shared" si="36"/>
        <v>0.4513888888888889</v>
      </c>
      <c r="E38" s="29" t="str">
        <f t="shared" si="36"/>
        <v>C42</v>
      </c>
      <c r="F38" s="49">
        <f t="shared" si="36"/>
        <v>13.42043</v>
      </c>
      <c r="G38" s="31">
        <f t="shared" si="36"/>
        <v>100.79777</v>
      </c>
      <c r="H38" s="32">
        <f t="shared" si="36"/>
        <v>11.4</v>
      </c>
      <c r="I38" s="27">
        <f t="shared" si="36"/>
        <v>3</v>
      </c>
      <c r="J38" s="33" t="s">
        <v>51</v>
      </c>
      <c r="K38" s="32">
        <v>5</v>
      </c>
      <c r="L38" s="34"/>
      <c r="M38" s="35"/>
      <c r="N38" s="50">
        <f t="shared" ref="N38:N39" si="37">N37</f>
        <v>2</v>
      </c>
      <c r="O38" s="37">
        <v>29</v>
      </c>
      <c r="P38" s="38">
        <v>29.321000000000002</v>
      </c>
      <c r="Q38" s="51">
        <v>29.35</v>
      </c>
      <c r="R38" s="38">
        <v>8.11</v>
      </c>
      <c r="S38" s="38">
        <v>8.18</v>
      </c>
      <c r="T38" s="37">
        <v>28.2</v>
      </c>
      <c r="U38" s="38">
        <v>30.873000000000001</v>
      </c>
      <c r="V38" s="52">
        <v>30.9</v>
      </c>
      <c r="W38" s="38"/>
      <c r="X38" s="38">
        <v>8.6010000000000009</v>
      </c>
      <c r="Y38" s="38">
        <v>7.76</v>
      </c>
      <c r="Z38" s="38">
        <f t="shared" si="32"/>
        <v>7.3908372841242818</v>
      </c>
      <c r="AA38" s="41"/>
      <c r="AB38" s="53"/>
      <c r="AC38" s="42">
        <v>4.38</v>
      </c>
      <c r="AD38" s="43">
        <v>4.8499999999999996</v>
      </c>
      <c r="AF38" s="115"/>
      <c r="AG38" s="143"/>
      <c r="AH38" s="117"/>
      <c r="AI38" s="113"/>
      <c r="AJ38" s="147"/>
      <c r="AK38" s="147"/>
      <c r="AL38" s="147"/>
      <c r="AM38" s="147"/>
      <c r="AN38" s="112"/>
      <c r="AO38" s="112"/>
      <c r="AP38" s="108"/>
      <c r="AQ38" s="45"/>
      <c r="AR38" s="46"/>
      <c r="AS38" s="46"/>
      <c r="AT38" s="46"/>
      <c r="AU38" s="46"/>
      <c r="AV38" s="47"/>
      <c r="AW38" s="46"/>
      <c r="AX38" s="46"/>
      <c r="AY38" s="48"/>
    </row>
    <row r="39" spans="1:51" customFormat="1" ht="14.25" customHeight="1" x14ac:dyDescent="0.45">
      <c r="A39" s="26">
        <f t="shared" ref="A39:I39" si="38">A38</f>
        <v>2024</v>
      </c>
      <c r="B39" s="27">
        <f t="shared" si="38"/>
        <v>11</v>
      </c>
      <c r="C39" s="27">
        <f t="shared" si="38"/>
        <v>27</v>
      </c>
      <c r="D39" s="28">
        <f t="shared" si="38"/>
        <v>0.4513888888888889</v>
      </c>
      <c r="E39" s="29" t="str">
        <f t="shared" si="38"/>
        <v>C42</v>
      </c>
      <c r="F39" s="49">
        <f t="shared" si="38"/>
        <v>13.42043</v>
      </c>
      <c r="G39" s="31">
        <f t="shared" si="38"/>
        <v>100.79777</v>
      </c>
      <c r="H39" s="32">
        <f t="shared" si="38"/>
        <v>11.4</v>
      </c>
      <c r="I39" s="27">
        <f t="shared" si="38"/>
        <v>3</v>
      </c>
      <c r="J39" s="33" t="s">
        <v>52</v>
      </c>
      <c r="K39" s="32">
        <v>10</v>
      </c>
      <c r="L39" s="34"/>
      <c r="M39" s="35"/>
      <c r="N39" s="50">
        <f t="shared" si="37"/>
        <v>2</v>
      </c>
      <c r="O39" s="37">
        <v>29.2</v>
      </c>
      <c r="P39" s="38">
        <v>29.533999999999999</v>
      </c>
      <c r="Q39" s="51">
        <v>29.53</v>
      </c>
      <c r="R39" s="38">
        <v>8.1</v>
      </c>
      <c r="S39" s="38">
        <v>8.08</v>
      </c>
      <c r="T39" s="37">
        <v>28.2</v>
      </c>
      <c r="U39" s="38">
        <v>31.565999999999999</v>
      </c>
      <c r="V39" s="52">
        <v>31.47</v>
      </c>
      <c r="W39" s="38"/>
      <c r="X39" s="38">
        <v>5.9880000000000004</v>
      </c>
      <c r="Y39" s="38">
        <v>5.15</v>
      </c>
      <c r="Z39" s="38">
        <f t="shared" si="32"/>
        <v>5.3385202572255848</v>
      </c>
      <c r="AA39" s="41"/>
      <c r="AB39" s="53"/>
      <c r="AC39" s="42">
        <v>1.95</v>
      </c>
      <c r="AD39" s="43">
        <v>3.03</v>
      </c>
      <c r="AF39" s="115"/>
      <c r="AG39" s="143"/>
      <c r="AH39" s="117"/>
      <c r="AI39" s="113"/>
      <c r="AJ39" s="147"/>
      <c r="AK39" s="147"/>
      <c r="AL39" s="147"/>
      <c r="AM39" s="147"/>
      <c r="AN39" s="112"/>
      <c r="AO39" s="112"/>
      <c r="AP39" s="108"/>
      <c r="AQ39" s="45"/>
      <c r="AR39" s="46"/>
      <c r="AS39" s="46"/>
      <c r="AT39" s="46"/>
      <c r="AU39" s="46"/>
      <c r="AV39" s="47"/>
      <c r="AW39" s="46"/>
      <c r="AX39" s="46"/>
      <c r="AY39" s="48"/>
    </row>
    <row r="40" spans="1:51" customFormat="1" ht="14.25" customHeight="1" x14ac:dyDescent="0.45">
      <c r="A40" s="26">
        <v>2024</v>
      </c>
      <c r="B40" s="27">
        <v>11</v>
      </c>
      <c r="C40" s="27">
        <v>27</v>
      </c>
      <c r="D40" s="28">
        <v>0.47916666666666669</v>
      </c>
      <c r="E40" s="29">
        <v>40</v>
      </c>
      <c r="F40" s="30">
        <v>13.42001</v>
      </c>
      <c r="G40" s="31">
        <v>100.6662</v>
      </c>
      <c r="H40" s="32">
        <v>10.199999999999999</v>
      </c>
      <c r="I40" s="27">
        <v>3</v>
      </c>
      <c r="J40" s="33" t="s">
        <v>47</v>
      </c>
      <c r="K40" s="32">
        <v>1</v>
      </c>
      <c r="L40" s="34">
        <v>5</v>
      </c>
      <c r="M40" s="35" t="s">
        <v>48</v>
      </c>
      <c r="N40" s="36">
        <v>2.2999999999999998</v>
      </c>
      <c r="O40" s="37">
        <v>29.2</v>
      </c>
      <c r="P40" s="38">
        <v>29.492000000000001</v>
      </c>
      <c r="Q40" s="51">
        <v>29.49</v>
      </c>
      <c r="R40" s="38">
        <v>8.09</v>
      </c>
      <c r="S40" s="38">
        <v>8.18</v>
      </c>
      <c r="T40" s="37">
        <v>28.2</v>
      </c>
      <c r="U40" s="38">
        <v>31.09</v>
      </c>
      <c r="V40" s="52">
        <v>31.08</v>
      </c>
      <c r="W40" s="38">
        <v>7.68</v>
      </c>
      <c r="X40" s="38">
        <v>8.4459999999999997</v>
      </c>
      <c r="Y40" s="38">
        <v>7.56</v>
      </c>
      <c r="Z40" s="38">
        <f t="shared" si="32"/>
        <v>7.2335716115649946</v>
      </c>
      <c r="AA40" s="41">
        <v>3.1</v>
      </c>
      <c r="AB40" s="53">
        <v>2.5905</v>
      </c>
      <c r="AC40" s="42">
        <v>1.41</v>
      </c>
      <c r="AD40" s="43">
        <v>2</v>
      </c>
      <c r="AE40" s="44" t="s">
        <v>49</v>
      </c>
      <c r="AF40" s="120"/>
      <c r="AG40" s="143"/>
      <c r="AH40" s="117"/>
      <c r="AI40" s="113"/>
      <c r="AJ40" s="147"/>
      <c r="AK40" s="147"/>
      <c r="AL40" s="147"/>
      <c r="AM40" s="147"/>
      <c r="AN40" s="112"/>
      <c r="AO40" s="112"/>
      <c r="AP40" s="108"/>
      <c r="AQ40" s="45">
        <v>9.4600000000000004E-2</v>
      </c>
      <c r="AR40" s="46">
        <v>2.5638000000000001</v>
      </c>
      <c r="AS40" s="46">
        <v>0.14099999999999999</v>
      </c>
      <c r="AT40" s="46">
        <v>3.1467000000000001</v>
      </c>
      <c r="AU40" s="46">
        <v>1.3416999999999999</v>
      </c>
      <c r="AV40" s="47">
        <v>72.647300000000001</v>
      </c>
      <c r="AW40" s="46"/>
      <c r="AX40" s="46"/>
      <c r="AY40" s="48" t="s">
        <v>53</v>
      </c>
    </row>
    <row r="41" spans="1:51" customFormat="1" ht="14.25" customHeight="1" x14ac:dyDescent="0.45">
      <c r="A41" s="26">
        <f t="shared" ref="A41:I41" si="39">A40</f>
        <v>2024</v>
      </c>
      <c r="B41" s="27">
        <f t="shared" si="39"/>
        <v>11</v>
      </c>
      <c r="C41" s="27">
        <f t="shared" si="39"/>
        <v>27</v>
      </c>
      <c r="D41" s="28">
        <f t="shared" si="39"/>
        <v>0.47916666666666669</v>
      </c>
      <c r="E41" s="29">
        <f t="shared" si="39"/>
        <v>40</v>
      </c>
      <c r="F41" s="49">
        <f t="shared" si="39"/>
        <v>13.42001</v>
      </c>
      <c r="G41" s="31">
        <f t="shared" si="39"/>
        <v>100.6662</v>
      </c>
      <c r="H41" s="32">
        <f t="shared" si="39"/>
        <v>10.199999999999999</v>
      </c>
      <c r="I41" s="27">
        <f t="shared" si="39"/>
        <v>3</v>
      </c>
      <c r="J41" s="33" t="s">
        <v>51</v>
      </c>
      <c r="K41" s="32">
        <v>5</v>
      </c>
      <c r="L41" s="34"/>
      <c r="M41" s="35"/>
      <c r="N41" s="50">
        <f t="shared" ref="N41:N42" si="40">N40</f>
        <v>2.2999999999999998</v>
      </c>
      <c r="O41" s="37">
        <v>29.3</v>
      </c>
      <c r="P41" s="38">
        <v>29.443999999999999</v>
      </c>
      <c r="Q41" s="51">
        <v>29.44</v>
      </c>
      <c r="R41" s="38">
        <v>8.0500000000000007</v>
      </c>
      <c r="S41" s="38">
        <v>8.19</v>
      </c>
      <c r="T41" s="37">
        <v>28.2</v>
      </c>
      <c r="U41" s="38">
        <v>31.184000000000001</v>
      </c>
      <c r="V41" s="52">
        <v>31.12</v>
      </c>
      <c r="W41" s="38">
        <v>7.53</v>
      </c>
      <c r="X41" s="38">
        <v>8.2739999999999991</v>
      </c>
      <c r="Y41" s="38">
        <v>7.49</v>
      </c>
      <c r="Z41" s="38">
        <f t="shared" si="32"/>
        <v>7.1785286261692445</v>
      </c>
      <c r="AA41" s="41">
        <v>3.6</v>
      </c>
      <c r="AB41" s="53"/>
      <c r="AC41" s="42">
        <v>2.67</v>
      </c>
      <c r="AD41" s="43">
        <v>3.3</v>
      </c>
      <c r="AF41" s="115"/>
      <c r="AG41" s="143"/>
      <c r="AH41" s="117"/>
      <c r="AI41" s="113"/>
      <c r="AJ41" s="147"/>
      <c r="AK41" s="147"/>
      <c r="AL41" s="147"/>
      <c r="AM41" s="147"/>
      <c r="AN41" s="112"/>
      <c r="AO41" s="112"/>
      <c r="AP41" s="108"/>
      <c r="AQ41" s="45">
        <v>4.6300000000000001E-2</v>
      </c>
      <c r="AR41" s="46">
        <v>5.1929999999999996</v>
      </c>
      <c r="AS41" s="46">
        <v>0.14099999999999999</v>
      </c>
      <c r="AT41" s="46">
        <v>2.2477</v>
      </c>
      <c r="AU41" s="46">
        <v>1.117</v>
      </c>
      <c r="AV41" s="47">
        <v>87.308000000000007</v>
      </c>
      <c r="AW41" s="46"/>
      <c r="AX41" s="46"/>
      <c r="AY41" s="48"/>
    </row>
    <row r="42" spans="1:51" customFormat="1" ht="14.25" customHeight="1" x14ac:dyDescent="0.45">
      <c r="A42" s="26">
        <f t="shared" ref="A42:I42" si="41">A41</f>
        <v>2024</v>
      </c>
      <c r="B42" s="27">
        <f t="shared" si="41"/>
        <v>11</v>
      </c>
      <c r="C42" s="27">
        <f t="shared" si="41"/>
        <v>27</v>
      </c>
      <c r="D42" s="28">
        <f t="shared" si="41"/>
        <v>0.47916666666666669</v>
      </c>
      <c r="E42" s="29">
        <f t="shared" si="41"/>
        <v>40</v>
      </c>
      <c r="F42" s="49">
        <f t="shared" si="41"/>
        <v>13.42001</v>
      </c>
      <c r="G42" s="31">
        <f t="shared" si="41"/>
        <v>100.6662</v>
      </c>
      <c r="H42" s="32">
        <f t="shared" si="41"/>
        <v>10.199999999999999</v>
      </c>
      <c r="I42" s="27">
        <f t="shared" si="41"/>
        <v>3</v>
      </c>
      <c r="J42" s="33" t="s">
        <v>52</v>
      </c>
      <c r="K42" s="32">
        <v>9</v>
      </c>
      <c r="L42" s="34"/>
      <c r="M42" s="35"/>
      <c r="N42" s="50">
        <f t="shared" si="40"/>
        <v>2.2999999999999998</v>
      </c>
      <c r="O42" s="37">
        <v>29.2</v>
      </c>
      <c r="P42" s="38">
        <v>29.484000000000002</v>
      </c>
      <c r="Q42" s="51">
        <v>259.49</v>
      </c>
      <c r="R42" s="38">
        <v>8.01</v>
      </c>
      <c r="S42" s="38">
        <v>8.1</v>
      </c>
      <c r="T42" s="37">
        <v>28.5</v>
      </c>
      <c r="U42" s="38">
        <v>31.391999999999999</v>
      </c>
      <c r="V42" s="52">
        <v>31.3</v>
      </c>
      <c r="W42" s="38">
        <v>6.92</v>
      </c>
      <c r="X42" s="38">
        <v>6.5919999999999996</v>
      </c>
      <c r="Y42" s="38">
        <v>6.02</v>
      </c>
      <c r="Z42" s="38">
        <f t="shared" si="32"/>
        <v>6.0226259328584835</v>
      </c>
      <c r="AA42" s="41">
        <v>5.85</v>
      </c>
      <c r="AB42" s="53"/>
      <c r="AC42" s="42">
        <v>2.19</v>
      </c>
      <c r="AD42" s="43">
        <v>3.67</v>
      </c>
      <c r="AF42" s="115"/>
      <c r="AG42" s="143"/>
      <c r="AH42" s="117"/>
      <c r="AI42" s="113"/>
      <c r="AJ42" s="147"/>
      <c r="AK42" s="147"/>
      <c r="AL42" s="147"/>
      <c r="AM42" s="147"/>
      <c r="AN42" s="112"/>
      <c r="AO42" s="112"/>
      <c r="AP42" s="108"/>
      <c r="AQ42" s="45">
        <v>0.1913</v>
      </c>
      <c r="AR42" s="46">
        <v>6.0693000000000001</v>
      </c>
      <c r="AS42" s="46">
        <v>0.16389999999999999</v>
      </c>
      <c r="AT42" s="46">
        <v>1.3486</v>
      </c>
      <c r="AU42" s="46">
        <v>1.0942000000000001</v>
      </c>
      <c r="AV42" s="47">
        <v>171.69919999999999</v>
      </c>
      <c r="AW42" s="46"/>
      <c r="AX42" s="46"/>
      <c r="AY42" s="48"/>
    </row>
    <row r="43" spans="1:51" customFormat="1" ht="14.25" customHeight="1" x14ac:dyDescent="0.45">
      <c r="A43" s="26">
        <v>2024</v>
      </c>
      <c r="B43" s="54">
        <v>11</v>
      </c>
      <c r="C43" s="27">
        <v>27</v>
      </c>
      <c r="D43" s="28">
        <v>0.50208333333333333</v>
      </c>
      <c r="E43" s="29">
        <v>41</v>
      </c>
      <c r="F43" s="30">
        <v>13.380610000000001</v>
      </c>
      <c r="G43" s="31">
        <v>100.66611</v>
      </c>
      <c r="H43" s="32">
        <v>16.5</v>
      </c>
      <c r="I43" s="27">
        <v>3</v>
      </c>
      <c r="J43" s="33" t="s">
        <v>47</v>
      </c>
      <c r="K43" s="32">
        <v>1</v>
      </c>
      <c r="L43" s="34">
        <v>7</v>
      </c>
      <c r="M43" s="35" t="s">
        <v>48</v>
      </c>
      <c r="N43" s="36">
        <v>2.8</v>
      </c>
      <c r="O43" s="37">
        <v>29.3</v>
      </c>
      <c r="P43" s="38">
        <v>29.684000000000001</v>
      </c>
      <c r="Q43" s="51">
        <v>29.69</v>
      </c>
      <c r="R43" s="38">
        <v>8.06</v>
      </c>
      <c r="S43" s="38">
        <v>8.1300000000000008</v>
      </c>
      <c r="T43" s="37">
        <v>29</v>
      </c>
      <c r="U43" s="38">
        <v>31.696000000000002</v>
      </c>
      <c r="V43" s="52">
        <v>31.66</v>
      </c>
      <c r="W43" s="38"/>
      <c r="X43" s="38">
        <v>7.3220000000000001</v>
      </c>
      <c r="Y43" s="38">
        <v>6.29</v>
      </c>
      <c r="Z43" s="38">
        <f t="shared" si="32"/>
        <v>6.2349345908135216</v>
      </c>
      <c r="AA43" s="41"/>
      <c r="AB43" s="53"/>
      <c r="AC43" s="42">
        <v>0.63</v>
      </c>
      <c r="AD43" s="43">
        <v>0.87</v>
      </c>
      <c r="AE43" s="44"/>
      <c r="AF43" s="120"/>
      <c r="AG43" s="143"/>
      <c r="AH43" s="117"/>
      <c r="AI43" s="113"/>
      <c r="AJ43" s="147"/>
      <c r="AK43" s="147"/>
      <c r="AL43" s="147"/>
      <c r="AM43" s="147"/>
      <c r="AN43" s="112"/>
      <c r="AO43" s="112"/>
      <c r="AP43" s="108"/>
      <c r="AQ43" s="45"/>
      <c r="AR43" s="46"/>
      <c r="AS43" s="46"/>
      <c r="AT43" s="46"/>
      <c r="AU43" s="46"/>
      <c r="AV43" s="47"/>
      <c r="AW43" s="46"/>
      <c r="AX43" s="46"/>
      <c r="AY43" s="48" t="s">
        <v>53</v>
      </c>
    </row>
    <row r="44" spans="1:51" customFormat="1" ht="14.25" customHeight="1" x14ac:dyDescent="0.45">
      <c r="A44" s="26">
        <f t="shared" ref="A44:I44" si="42">A43</f>
        <v>2024</v>
      </c>
      <c r="B44" s="27">
        <f t="shared" si="42"/>
        <v>11</v>
      </c>
      <c r="C44" s="27">
        <f t="shared" si="42"/>
        <v>27</v>
      </c>
      <c r="D44" s="28">
        <f t="shared" si="42"/>
        <v>0.50208333333333333</v>
      </c>
      <c r="E44" s="29">
        <f t="shared" si="42"/>
        <v>41</v>
      </c>
      <c r="F44" s="49">
        <f t="shared" si="42"/>
        <v>13.380610000000001</v>
      </c>
      <c r="G44" s="31">
        <f t="shared" si="42"/>
        <v>100.66611</v>
      </c>
      <c r="H44" s="32">
        <f t="shared" si="42"/>
        <v>16.5</v>
      </c>
      <c r="I44" s="27">
        <f t="shared" si="42"/>
        <v>3</v>
      </c>
      <c r="J44" s="33" t="s">
        <v>51</v>
      </c>
      <c r="K44" s="32">
        <v>8</v>
      </c>
      <c r="L44" s="34"/>
      <c r="M44" s="35"/>
      <c r="N44" s="50">
        <f t="shared" ref="N44:N45" si="43">N43</f>
        <v>2.8</v>
      </c>
      <c r="O44" s="37">
        <v>29.4</v>
      </c>
      <c r="P44" s="38">
        <v>29.61</v>
      </c>
      <c r="Q44" s="51">
        <v>29.61</v>
      </c>
      <c r="R44" s="38">
        <v>8.0500000000000007</v>
      </c>
      <c r="S44" s="38">
        <v>8.14</v>
      </c>
      <c r="T44" s="37">
        <v>29</v>
      </c>
      <c r="U44" s="38">
        <v>31.77</v>
      </c>
      <c r="V44" s="52">
        <v>31.66</v>
      </c>
      <c r="W44" s="38"/>
      <c r="X44" s="38">
        <v>7.0179999999999998</v>
      </c>
      <c r="Y44" s="38">
        <v>6.26</v>
      </c>
      <c r="Z44" s="38">
        <f t="shared" si="32"/>
        <v>6.2113447399296282</v>
      </c>
      <c r="AA44" s="41"/>
      <c r="AB44" s="53"/>
      <c r="AC44" s="42">
        <v>0.77</v>
      </c>
      <c r="AD44" s="43">
        <v>1.08</v>
      </c>
      <c r="AF44" s="115"/>
      <c r="AG44" s="143"/>
      <c r="AH44" s="117"/>
      <c r="AI44" s="113"/>
      <c r="AJ44" s="147"/>
      <c r="AK44" s="147"/>
      <c r="AL44" s="147"/>
      <c r="AM44" s="147"/>
      <c r="AN44" s="112"/>
      <c r="AO44" s="112"/>
      <c r="AP44" s="108"/>
      <c r="AQ44" s="45"/>
      <c r="AR44" s="46"/>
      <c r="AS44" s="46"/>
      <c r="AT44" s="46"/>
      <c r="AU44" s="46"/>
      <c r="AV44" s="47"/>
      <c r="AW44" s="46"/>
      <c r="AX44" s="46"/>
      <c r="AY44" s="48"/>
    </row>
    <row r="45" spans="1:51" customFormat="1" ht="14.25" customHeight="1" x14ac:dyDescent="0.45">
      <c r="A45" s="26">
        <f t="shared" ref="A45:I45" si="44">A44</f>
        <v>2024</v>
      </c>
      <c r="B45" s="27">
        <f t="shared" si="44"/>
        <v>11</v>
      </c>
      <c r="C45" s="27">
        <f t="shared" si="44"/>
        <v>27</v>
      </c>
      <c r="D45" s="28">
        <f t="shared" si="44"/>
        <v>0.50208333333333333</v>
      </c>
      <c r="E45" s="29">
        <f t="shared" si="44"/>
        <v>41</v>
      </c>
      <c r="F45" s="49">
        <f t="shared" si="44"/>
        <v>13.380610000000001</v>
      </c>
      <c r="G45" s="31">
        <f t="shared" si="44"/>
        <v>100.66611</v>
      </c>
      <c r="H45" s="32">
        <f t="shared" si="44"/>
        <v>16.5</v>
      </c>
      <c r="I45" s="27">
        <f t="shared" si="44"/>
        <v>3</v>
      </c>
      <c r="J45" s="33" t="s">
        <v>52</v>
      </c>
      <c r="K45" s="32">
        <v>15</v>
      </c>
      <c r="L45" s="34"/>
      <c r="M45" s="35"/>
      <c r="N45" s="50">
        <f t="shared" si="43"/>
        <v>2.8</v>
      </c>
      <c r="O45" s="37">
        <v>29.3</v>
      </c>
      <c r="P45" s="38">
        <v>29.562999999999999</v>
      </c>
      <c r="Q45" s="51">
        <v>29.57</v>
      </c>
      <c r="R45" s="38">
        <v>8.0299999999999994</v>
      </c>
      <c r="S45" s="38">
        <v>8.14</v>
      </c>
      <c r="T45" s="37">
        <v>28.9</v>
      </c>
      <c r="U45" s="38">
        <v>31.858000000000001</v>
      </c>
      <c r="V45" s="52">
        <v>31.67</v>
      </c>
      <c r="W45" s="38"/>
      <c r="X45" s="38">
        <v>6.7619999999999996</v>
      </c>
      <c r="Y45" s="38">
        <v>6.11</v>
      </c>
      <c r="Z45" s="38">
        <f t="shared" si="32"/>
        <v>6.0933954855101629</v>
      </c>
      <c r="AA45" s="41"/>
      <c r="AB45" s="53"/>
      <c r="AC45" s="42">
        <v>0.61</v>
      </c>
      <c r="AD45" s="43">
        <v>1.1200000000000001</v>
      </c>
      <c r="AF45" s="115"/>
      <c r="AG45" s="143"/>
      <c r="AH45" s="117"/>
      <c r="AI45" s="113"/>
      <c r="AJ45" s="147"/>
      <c r="AK45" s="147"/>
      <c r="AL45" s="147"/>
      <c r="AM45" s="147"/>
      <c r="AN45" s="112"/>
      <c r="AO45" s="112"/>
      <c r="AP45" s="108"/>
      <c r="AQ45" s="45"/>
      <c r="AR45" s="46"/>
      <c r="AS45" s="46"/>
      <c r="AT45" s="46"/>
      <c r="AU45" s="46"/>
      <c r="AV45" s="47"/>
      <c r="AW45" s="46"/>
      <c r="AX45" s="46"/>
      <c r="AY45" s="48"/>
    </row>
    <row r="46" spans="1:51" customFormat="1" ht="14.25" customHeight="1" x14ac:dyDescent="0.45">
      <c r="A46" s="26">
        <v>2024</v>
      </c>
      <c r="B46" s="27">
        <v>11</v>
      </c>
      <c r="C46" s="27">
        <v>27</v>
      </c>
      <c r="D46" s="28">
        <v>0.53819444444444442</v>
      </c>
      <c r="E46" s="29">
        <v>42</v>
      </c>
      <c r="F46" s="30">
        <v>13.330959999999999</v>
      </c>
      <c r="G46" s="31">
        <v>100.66553</v>
      </c>
      <c r="H46" s="32">
        <v>18.899999999999999</v>
      </c>
      <c r="I46" s="27">
        <v>3</v>
      </c>
      <c r="J46" s="33" t="s">
        <v>47</v>
      </c>
      <c r="K46" s="32">
        <v>1</v>
      </c>
      <c r="L46" s="34">
        <v>6</v>
      </c>
      <c r="M46" s="35" t="s">
        <v>48</v>
      </c>
      <c r="N46" s="36">
        <v>3.2</v>
      </c>
      <c r="O46" s="37">
        <v>29.7</v>
      </c>
      <c r="P46" s="38">
        <v>29.821000000000002</v>
      </c>
      <c r="Q46" s="51">
        <v>29.83</v>
      </c>
      <c r="R46" s="38">
        <v>7.92</v>
      </c>
      <c r="S46" s="38">
        <v>8.16</v>
      </c>
      <c r="T46" s="37">
        <v>28.8</v>
      </c>
      <c r="U46" s="38">
        <v>31.77</v>
      </c>
      <c r="V46" s="52">
        <v>31.75</v>
      </c>
      <c r="W46" s="38">
        <v>6.64</v>
      </c>
      <c r="X46" s="38">
        <v>7.0279999999999996</v>
      </c>
      <c r="Y46" s="38">
        <v>6.39</v>
      </c>
      <c r="Z46" s="38">
        <f t="shared" si="32"/>
        <v>6.3135674270931643</v>
      </c>
      <c r="AA46" s="41">
        <v>8.3000000000000007</v>
      </c>
      <c r="AB46" s="53">
        <v>0.72119999999999995</v>
      </c>
      <c r="AC46" s="42">
        <v>0.41</v>
      </c>
      <c r="AD46" s="43">
        <v>0.56999999999999995</v>
      </c>
      <c r="AE46" s="44" t="s">
        <v>49</v>
      </c>
      <c r="AF46" s="120" t="s">
        <v>49</v>
      </c>
      <c r="AG46" s="143"/>
      <c r="AH46" s="117"/>
      <c r="AI46" s="113"/>
      <c r="AJ46" s="147"/>
      <c r="AK46" s="147"/>
      <c r="AL46" s="147"/>
      <c r="AM46" s="147"/>
      <c r="AN46" s="112"/>
      <c r="AO46" s="112"/>
      <c r="AP46" s="108"/>
      <c r="AQ46" s="45">
        <v>9.4600000000000004E-2</v>
      </c>
      <c r="AR46" s="46">
        <v>6.2092999999999998</v>
      </c>
      <c r="AS46" s="46">
        <v>0.16389999999999999</v>
      </c>
      <c r="AT46" s="46">
        <v>1.6183000000000001</v>
      </c>
      <c r="AU46" s="46">
        <v>0.91439999999999999</v>
      </c>
      <c r="AV46" s="47">
        <v>71.686499999999995</v>
      </c>
      <c r="AW46" s="46"/>
      <c r="AX46" s="46"/>
      <c r="AY46" s="48" t="s">
        <v>53</v>
      </c>
    </row>
    <row r="47" spans="1:51" customFormat="1" ht="14.25" customHeight="1" x14ac:dyDescent="0.45">
      <c r="A47" s="26">
        <f t="shared" ref="A47:I47" si="45">A46</f>
        <v>2024</v>
      </c>
      <c r="B47" s="27">
        <f t="shared" si="45"/>
        <v>11</v>
      </c>
      <c r="C47" s="27">
        <f t="shared" si="45"/>
        <v>27</v>
      </c>
      <c r="D47" s="28">
        <f t="shared" si="45"/>
        <v>0.53819444444444442</v>
      </c>
      <c r="E47" s="29">
        <f t="shared" si="45"/>
        <v>42</v>
      </c>
      <c r="F47" s="49">
        <f t="shared" si="45"/>
        <v>13.330959999999999</v>
      </c>
      <c r="G47" s="31">
        <f t="shared" si="45"/>
        <v>100.66553</v>
      </c>
      <c r="H47" s="32">
        <f t="shared" si="45"/>
        <v>18.899999999999999</v>
      </c>
      <c r="I47" s="27">
        <f t="shared" si="45"/>
        <v>3</v>
      </c>
      <c r="J47" s="33" t="s">
        <v>51</v>
      </c>
      <c r="K47" s="32">
        <v>9</v>
      </c>
      <c r="L47" s="34"/>
      <c r="M47" s="35"/>
      <c r="N47" s="50">
        <f t="shared" ref="N47:N48" si="46">N46</f>
        <v>3.2</v>
      </c>
      <c r="O47" s="37">
        <v>29.4</v>
      </c>
      <c r="P47" s="38">
        <v>29.738</v>
      </c>
      <c r="Q47" s="51">
        <v>29.74</v>
      </c>
      <c r="R47" s="38">
        <v>7.9</v>
      </c>
      <c r="S47" s="38">
        <v>8.16</v>
      </c>
      <c r="T47" s="37">
        <v>28.8</v>
      </c>
      <c r="U47" s="38">
        <v>31.838999999999999</v>
      </c>
      <c r="V47" s="52">
        <v>31.74</v>
      </c>
      <c r="W47" s="38">
        <v>6.84</v>
      </c>
      <c r="X47" s="38">
        <v>6.9889999999999999</v>
      </c>
      <c r="Y47" s="38">
        <v>6.39</v>
      </c>
      <c r="Z47" s="38">
        <f t="shared" si="32"/>
        <v>6.3135674270931643</v>
      </c>
      <c r="AA47" s="41">
        <v>11.95</v>
      </c>
      <c r="AB47" s="53"/>
      <c r="AC47" s="42">
        <v>0.62</v>
      </c>
      <c r="AD47" s="43">
        <v>0.89</v>
      </c>
      <c r="AF47" s="115"/>
      <c r="AG47" s="143"/>
      <c r="AH47" s="117"/>
      <c r="AI47" s="113"/>
      <c r="AJ47" s="147"/>
      <c r="AK47" s="147"/>
      <c r="AL47" s="147"/>
      <c r="AM47" s="147"/>
      <c r="AN47" s="112"/>
      <c r="AO47" s="112"/>
      <c r="AP47" s="108"/>
      <c r="AQ47" s="45">
        <v>9.4600000000000004E-2</v>
      </c>
      <c r="AR47" s="46">
        <v>7.0856000000000003</v>
      </c>
      <c r="AS47" s="46">
        <v>0.16389999999999999</v>
      </c>
      <c r="AT47" s="46">
        <v>1.1688000000000001</v>
      </c>
      <c r="AU47" s="46">
        <v>1.1839999999999999</v>
      </c>
      <c r="AV47" s="47">
        <v>83.562899999999999</v>
      </c>
      <c r="AW47" s="46"/>
      <c r="AX47" s="46"/>
      <c r="AY47" s="48"/>
    </row>
    <row r="48" spans="1:51" customFormat="1" ht="14.25" customHeight="1" x14ac:dyDescent="0.45">
      <c r="A48" s="26">
        <f t="shared" ref="A48:I48" si="47">A47</f>
        <v>2024</v>
      </c>
      <c r="B48" s="27">
        <f t="shared" si="47"/>
        <v>11</v>
      </c>
      <c r="C48" s="27">
        <f t="shared" si="47"/>
        <v>27</v>
      </c>
      <c r="D48" s="28">
        <f t="shared" si="47"/>
        <v>0.53819444444444442</v>
      </c>
      <c r="E48" s="29">
        <f t="shared" si="47"/>
        <v>42</v>
      </c>
      <c r="F48" s="49">
        <f t="shared" si="47"/>
        <v>13.330959999999999</v>
      </c>
      <c r="G48" s="31">
        <f t="shared" si="47"/>
        <v>100.66553</v>
      </c>
      <c r="H48" s="32">
        <f t="shared" si="47"/>
        <v>18.899999999999999</v>
      </c>
      <c r="I48" s="27">
        <f t="shared" si="47"/>
        <v>3</v>
      </c>
      <c r="J48" s="33" t="s">
        <v>52</v>
      </c>
      <c r="K48" s="32">
        <v>17</v>
      </c>
      <c r="L48" s="34"/>
      <c r="M48" s="35"/>
      <c r="N48" s="50">
        <f t="shared" si="46"/>
        <v>3.2</v>
      </c>
      <c r="O48" s="37">
        <v>29.3</v>
      </c>
      <c r="P48" s="38">
        <v>29.669</v>
      </c>
      <c r="Q48" s="51">
        <v>29.67</v>
      </c>
      <c r="R48" s="38">
        <v>7.91</v>
      </c>
      <c r="S48" s="38">
        <v>8.16</v>
      </c>
      <c r="T48" s="37">
        <v>28.9</v>
      </c>
      <c r="U48" s="38">
        <v>31.866</v>
      </c>
      <c r="V48" s="52">
        <v>31.75</v>
      </c>
      <c r="W48" s="38">
        <v>6.39</v>
      </c>
      <c r="X48" s="38">
        <v>6.806</v>
      </c>
      <c r="Y48" s="38">
        <v>6.22</v>
      </c>
      <c r="Z48" s="38">
        <f t="shared" si="32"/>
        <v>6.1798916054177706</v>
      </c>
      <c r="AA48" s="41">
        <v>5.5</v>
      </c>
      <c r="AB48" s="53"/>
      <c r="AC48" s="42">
        <v>1.07</v>
      </c>
      <c r="AD48" s="43">
        <v>1.1000000000000001</v>
      </c>
      <c r="AF48" s="115"/>
      <c r="AG48" s="143"/>
      <c r="AH48" s="117"/>
      <c r="AI48" s="113"/>
      <c r="AJ48" s="147"/>
      <c r="AK48" s="147"/>
      <c r="AL48" s="147"/>
      <c r="AM48" s="147"/>
      <c r="AN48" s="112"/>
      <c r="AO48" s="112"/>
      <c r="AP48" s="108"/>
      <c r="AQ48" s="45">
        <v>9.4600000000000004E-2</v>
      </c>
      <c r="AR48" s="46">
        <v>6.2092999999999998</v>
      </c>
      <c r="AS48" s="46">
        <v>0.14099999999999999</v>
      </c>
      <c r="AT48" s="46">
        <v>0.80920000000000003</v>
      </c>
      <c r="AU48" s="46">
        <v>1.2968</v>
      </c>
      <c r="AV48" s="47">
        <v>68.246399999999994</v>
      </c>
      <c r="AW48" s="46"/>
      <c r="AX48" s="46"/>
      <c r="AY48" s="48"/>
    </row>
    <row r="49" spans="1:51" customFormat="1" ht="14.25" customHeight="1" x14ac:dyDescent="0.45">
      <c r="A49" s="26">
        <v>2024</v>
      </c>
      <c r="B49" s="54">
        <v>11</v>
      </c>
      <c r="C49" s="27">
        <v>27</v>
      </c>
      <c r="D49" s="28">
        <v>0.59027777777777779</v>
      </c>
      <c r="E49" s="29">
        <v>43</v>
      </c>
      <c r="F49" s="30">
        <v>13.282819999999999</v>
      </c>
      <c r="G49" s="31">
        <v>100.666</v>
      </c>
      <c r="H49" s="32">
        <v>18.399999999999999</v>
      </c>
      <c r="I49" s="27">
        <v>3</v>
      </c>
      <c r="J49" s="33" t="s">
        <v>47</v>
      </c>
      <c r="K49" s="32">
        <v>1</v>
      </c>
      <c r="L49" s="34">
        <v>5</v>
      </c>
      <c r="M49" s="35" t="s">
        <v>48</v>
      </c>
      <c r="N49" s="36">
        <v>2.6</v>
      </c>
      <c r="O49" s="37">
        <v>29.7</v>
      </c>
      <c r="P49" s="38">
        <v>29.943000000000001</v>
      </c>
      <c r="Q49" s="51">
        <v>29.95</v>
      </c>
      <c r="R49" s="38">
        <v>7.97</v>
      </c>
      <c r="S49" s="38">
        <v>8.14</v>
      </c>
      <c r="T49" s="37">
        <v>29</v>
      </c>
      <c r="U49" s="38">
        <v>31.8</v>
      </c>
      <c r="V49" s="52">
        <v>31.76</v>
      </c>
      <c r="W49" s="38"/>
      <c r="X49" s="38">
        <v>7.2380000000000004</v>
      </c>
      <c r="Y49" s="38">
        <v>6.4</v>
      </c>
      <c r="Z49" s="38">
        <f t="shared" si="32"/>
        <v>6.3214307107211294</v>
      </c>
      <c r="AA49" s="41"/>
      <c r="AB49" s="53"/>
      <c r="AC49" s="42">
        <v>0.49</v>
      </c>
      <c r="AD49" s="43">
        <v>0.72</v>
      </c>
      <c r="AF49" s="115"/>
      <c r="AG49" s="143"/>
      <c r="AH49" s="117"/>
      <c r="AI49" s="113"/>
      <c r="AJ49" s="147"/>
      <c r="AK49" s="147"/>
      <c r="AL49" s="147"/>
      <c r="AM49" s="147"/>
      <c r="AN49" s="112"/>
      <c r="AO49" s="112"/>
      <c r="AP49" s="108"/>
      <c r="AQ49" s="45"/>
      <c r="AR49" s="46"/>
      <c r="AS49" s="46"/>
      <c r="AT49" s="46"/>
      <c r="AU49" s="46"/>
      <c r="AV49" s="47"/>
      <c r="AW49" s="46"/>
      <c r="AX49" s="46"/>
      <c r="AY49" s="48" t="s">
        <v>53</v>
      </c>
    </row>
    <row r="50" spans="1:51" customFormat="1" ht="14.25" customHeight="1" x14ac:dyDescent="0.45">
      <c r="A50" s="26">
        <f t="shared" ref="A50:I50" si="48">A49</f>
        <v>2024</v>
      </c>
      <c r="B50" s="27">
        <f t="shared" si="48"/>
        <v>11</v>
      </c>
      <c r="C50" s="27">
        <f t="shared" si="48"/>
        <v>27</v>
      </c>
      <c r="D50" s="28">
        <f t="shared" si="48"/>
        <v>0.59027777777777779</v>
      </c>
      <c r="E50" s="29">
        <f t="shared" si="48"/>
        <v>43</v>
      </c>
      <c r="F50" s="49">
        <f t="shared" si="48"/>
        <v>13.282819999999999</v>
      </c>
      <c r="G50" s="31">
        <f t="shared" si="48"/>
        <v>100.666</v>
      </c>
      <c r="H50" s="32">
        <f t="shared" si="48"/>
        <v>18.399999999999999</v>
      </c>
      <c r="I50" s="27">
        <f t="shared" si="48"/>
        <v>3</v>
      </c>
      <c r="J50" s="33" t="s">
        <v>51</v>
      </c>
      <c r="K50" s="32">
        <v>9</v>
      </c>
      <c r="L50" s="34"/>
      <c r="M50" s="35"/>
      <c r="N50" s="50">
        <f t="shared" ref="N50:N51" si="49">N49</f>
        <v>2.6</v>
      </c>
      <c r="O50" s="37">
        <v>29.7</v>
      </c>
      <c r="P50" s="38">
        <v>29.855</v>
      </c>
      <c r="Q50" s="51">
        <v>29.86</v>
      </c>
      <c r="R50" s="38">
        <v>7.99</v>
      </c>
      <c r="S50" s="38">
        <v>8.15</v>
      </c>
      <c r="T50" s="37">
        <v>29.1</v>
      </c>
      <c r="U50" s="38">
        <v>31.873999999999999</v>
      </c>
      <c r="V50" s="52">
        <v>31.76</v>
      </c>
      <c r="W50" s="38"/>
      <c r="X50" s="38">
        <v>7.0460000000000003</v>
      </c>
      <c r="Y50" s="38">
        <v>6.4</v>
      </c>
      <c r="Z50" s="38">
        <f t="shared" si="32"/>
        <v>6.3214307107211294</v>
      </c>
      <c r="AA50" s="41"/>
      <c r="AB50" s="53"/>
      <c r="AC50" s="42">
        <v>0.66</v>
      </c>
      <c r="AD50" s="43">
        <v>0.79</v>
      </c>
      <c r="AF50" s="115"/>
      <c r="AG50" s="143"/>
      <c r="AH50" s="117"/>
      <c r="AI50" s="113"/>
      <c r="AJ50" s="147"/>
      <c r="AK50" s="147"/>
      <c r="AL50" s="147"/>
      <c r="AM50" s="147"/>
      <c r="AN50" s="112"/>
      <c r="AO50" s="112"/>
      <c r="AP50" s="108"/>
      <c r="AQ50" s="45"/>
      <c r="AR50" s="46"/>
      <c r="AS50" s="46"/>
      <c r="AT50" s="46"/>
      <c r="AU50" s="46"/>
      <c r="AV50" s="47"/>
      <c r="AW50" s="46"/>
      <c r="AX50" s="46"/>
      <c r="AY50" s="48"/>
    </row>
    <row r="51" spans="1:51" customFormat="1" ht="14.25" customHeight="1" x14ac:dyDescent="0.45">
      <c r="A51" s="26">
        <f t="shared" ref="A51:I51" si="50">A50</f>
        <v>2024</v>
      </c>
      <c r="B51" s="27">
        <f t="shared" si="50"/>
        <v>11</v>
      </c>
      <c r="C51" s="27">
        <f t="shared" si="50"/>
        <v>27</v>
      </c>
      <c r="D51" s="28">
        <f t="shared" si="50"/>
        <v>0.59027777777777779</v>
      </c>
      <c r="E51" s="29">
        <f t="shared" si="50"/>
        <v>43</v>
      </c>
      <c r="F51" s="49">
        <f t="shared" si="50"/>
        <v>13.282819999999999</v>
      </c>
      <c r="G51" s="31">
        <f t="shared" si="50"/>
        <v>100.666</v>
      </c>
      <c r="H51" s="32">
        <f t="shared" si="50"/>
        <v>18.399999999999999</v>
      </c>
      <c r="I51" s="27">
        <f t="shared" si="50"/>
        <v>3</v>
      </c>
      <c r="J51" s="33" t="s">
        <v>52</v>
      </c>
      <c r="K51" s="32">
        <v>17</v>
      </c>
      <c r="L51" s="34"/>
      <c r="M51" s="35"/>
      <c r="N51" s="50">
        <f t="shared" si="49"/>
        <v>2.6</v>
      </c>
      <c r="O51" s="37">
        <v>29.8</v>
      </c>
      <c r="P51" s="38">
        <v>29.783999999999999</v>
      </c>
      <c r="Q51" s="51">
        <v>29.79</v>
      </c>
      <c r="R51" s="38">
        <v>7.99</v>
      </c>
      <c r="S51" s="38">
        <v>8.15</v>
      </c>
      <c r="T51" s="37">
        <v>29.1</v>
      </c>
      <c r="U51" s="38">
        <v>31.94</v>
      </c>
      <c r="V51" s="52">
        <v>31.77</v>
      </c>
      <c r="W51" s="38"/>
      <c r="X51" s="38">
        <v>6.8410000000000002</v>
      </c>
      <c r="Y51" s="38">
        <v>6.26</v>
      </c>
      <c r="Z51" s="38">
        <f t="shared" si="32"/>
        <v>6.2113447399296282</v>
      </c>
      <c r="AA51" s="41"/>
      <c r="AB51" s="53"/>
      <c r="AC51" s="42">
        <v>0.74</v>
      </c>
      <c r="AD51" s="43">
        <v>1.08</v>
      </c>
      <c r="AF51" s="115"/>
      <c r="AG51" s="143"/>
      <c r="AH51" s="117"/>
      <c r="AI51" s="113"/>
      <c r="AJ51" s="147"/>
      <c r="AK51" s="147"/>
      <c r="AL51" s="147"/>
      <c r="AM51" s="147"/>
      <c r="AN51" s="112"/>
      <c r="AO51" s="112"/>
      <c r="AP51" s="108"/>
      <c r="AQ51" s="45"/>
      <c r="AR51" s="46"/>
      <c r="AS51" s="46"/>
      <c r="AT51" s="46"/>
      <c r="AU51" s="46"/>
      <c r="AV51" s="47"/>
      <c r="AW51" s="46"/>
      <c r="AX51" s="46"/>
      <c r="AY51" s="48"/>
    </row>
    <row r="52" spans="1:51" customFormat="1" ht="14.25" customHeight="1" x14ac:dyDescent="0.45">
      <c r="A52" s="26">
        <v>2024</v>
      </c>
      <c r="B52" s="27">
        <v>11</v>
      </c>
      <c r="C52" s="27">
        <v>27</v>
      </c>
      <c r="D52" s="28">
        <v>0.61805555555555558</v>
      </c>
      <c r="E52" s="29">
        <v>44</v>
      </c>
      <c r="F52" s="30">
        <v>13.233510000000001</v>
      </c>
      <c r="G52" s="31">
        <v>100.66726</v>
      </c>
      <c r="H52" s="32">
        <v>21.4</v>
      </c>
      <c r="I52" s="27">
        <v>3</v>
      </c>
      <c r="J52" s="33" t="s">
        <v>47</v>
      </c>
      <c r="K52" s="32">
        <v>1</v>
      </c>
      <c r="L52" s="34">
        <v>2</v>
      </c>
      <c r="M52" s="35" t="s">
        <v>48</v>
      </c>
      <c r="N52" s="36">
        <v>4.7</v>
      </c>
      <c r="O52" s="37">
        <v>29.8</v>
      </c>
      <c r="P52" s="38">
        <v>29.925000000000001</v>
      </c>
      <c r="Q52" s="51">
        <v>29.93</v>
      </c>
      <c r="R52" s="38">
        <v>7.95</v>
      </c>
      <c r="S52" s="38">
        <v>8.16</v>
      </c>
      <c r="T52" s="37">
        <v>28.9</v>
      </c>
      <c r="U52" s="38">
        <v>31.756</v>
      </c>
      <c r="V52" s="52">
        <v>31.73</v>
      </c>
      <c r="W52" s="38">
        <v>6.48</v>
      </c>
      <c r="X52" s="38">
        <v>6.98</v>
      </c>
      <c r="Y52" s="38">
        <v>6.4</v>
      </c>
      <c r="Z52" s="38">
        <f t="shared" si="32"/>
        <v>6.3214307107211294</v>
      </c>
      <c r="AA52" s="41">
        <v>3.4</v>
      </c>
      <c r="AB52" s="53">
        <v>0.61870000000000003</v>
      </c>
      <c r="AC52" s="42">
        <v>0.32</v>
      </c>
      <c r="AD52" s="43">
        <v>0.49</v>
      </c>
      <c r="AE52" s="44" t="s">
        <v>49</v>
      </c>
      <c r="AF52" s="120" t="s">
        <v>49</v>
      </c>
      <c r="AG52" s="143"/>
      <c r="AH52" s="117"/>
      <c r="AI52" s="113"/>
      <c r="AJ52" s="147"/>
      <c r="AK52" s="147"/>
      <c r="AL52" s="147"/>
      <c r="AM52" s="147"/>
      <c r="AN52" s="112"/>
      <c r="AO52" s="112"/>
      <c r="AP52" s="108"/>
      <c r="AQ52" s="45">
        <v>9.4600000000000004E-2</v>
      </c>
      <c r="AR52" s="46">
        <v>7.5237999999999996</v>
      </c>
      <c r="AS52" s="46">
        <v>0.2097</v>
      </c>
      <c r="AT52" s="46">
        <v>1.1688000000000001</v>
      </c>
      <c r="AU52" s="46">
        <v>1.0035000000000001</v>
      </c>
      <c r="AV52" s="47">
        <v>125.1015</v>
      </c>
      <c r="AW52" s="46"/>
      <c r="AX52" s="46"/>
      <c r="AY52" s="48" t="s">
        <v>53</v>
      </c>
    </row>
    <row r="53" spans="1:51" customFormat="1" ht="14.25" customHeight="1" x14ac:dyDescent="0.45">
      <c r="A53" s="26">
        <f t="shared" ref="A53:I53" si="51">A52</f>
        <v>2024</v>
      </c>
      <c r="B53" s="27">
        <f t="shared" si="51"/>
        <v>11</v>
      </c>
      <c r="C53" s="27">
        <f t="shared" si="51"/>
        <v>27</v>
      </c>
      <c r="D53" s="28">
        <f t="shared" si="51"/>
        <v>0.61805555555555558</v>
      </c>
      <c r="E53" s="29">
        <f t="shared" si="51"/>
        <v>44</v>
      </c>
      <c r="F53" s="49">
        <f t="shared" si="51"/>
        <v>13.233510000000001</v>
      </c>
      <c r="G53" s="31">
        <f t="shared" si="51"/>
        <v>100.66726</v>
      </c>
      <c r="H53" s="32">
        <f t="shared" si="51"/>
        <v>21.4</v>
      </c>
      <c r="I53" s="27">
        <f t="shared" si="51"/>
        <v>3</v>
      </c>
      <c r="J53" s="33" t="s">
        <v>51</v>
      </c>
      <c r="K53" s="32">
        <v>10</v>
      </c>
      <c r="L53" s="34"/>
      <c r="M53" s="35"/>
      <c r="N53" s="50">
        <f t="shared" ref="N53:N54" si="52">N52</f>
        <v>4.7</v>
      </c>
      <c r="O53" s="37">
        <v>29.7</v>
      </c>
      <c r="P53" s="38">
        <v>29.852</v>
      </c>
      <c r="Q53" s="51">
        <v>29.85</v>
      </c>
      <c r="R53" s="38">
        <v>7.9</v>
      </c>
      <c r="S53" s="38">
        <v>8.17</v>
      </c>
      <c r="T53" s="37">
        <v>28.7</v>
      </c>
      <c r="U53" s="38">
        <v>31.827000000000002</v>
      </c>
      <c r="V53" s="52">
        <v>31.73</v>
      </c>
      <c r="W53" s="38">
        <v>6.33</v>
      </c>
      <c r="X53" s="38">
        <v>6.9690000000000003</v>
      </c>
      <c r="Y53" s="38">
        <v>6.42</v>
      </c>
      <c r="Z53" s="38">
        <f t="shared" si="32"/>
        <v>6.3371572779770577</v>
      </c>
      <c r="AA53" s="41">
        <v>6.1</v>
      </c>
      <c r="AB53" s="53"/>
      <c r="AC53" s="42">
        <v>0.56999999999999995</v>
      </c>
      <c r="AD53" s="43">
        <v>0.72</v>
      </c>
      <c r="AF53" s="115"/>
      <c r="AG53" s="143"/>
      <c r="AH53" s="117"/>
      <c r="AI53" s="113"/>
      <c r="AJ53" s="147"/>
      <c r="AK53" s="147"/>
      <c r="AL53" s="147"/>
      <c r="AM53" s="147"/>
      <c r="AN53" s="112"/>
      <c r="AO53" s="112"/>
      <c r="AP53" s="108"/>
      <c r="AQ53" s="45">
        <v>0.1429</v>
      </c>
      <c r="AR53" s="46">
        <v>6.7789000000000001</v>
      </c>
      <c r="AS53" s="46">
        <v>0.14099999999999999</v>
      </c>
      <c r="AT53" s="46">
        <v>1.7981</v>
      </c>
      <c r="AU53" s="46">
        <v>1.2069000000000001</v>
      </c>
      <c r="AV53" s="47">
        <v>119.38249999999999</v>
      </c>
      <c r="AW53" s="46"/>
      <c r="AX53" s="46"/>
      <c r="AY53" s="48"/>
    </row>
    <row r="54" spans="1:51" customFormat="1" ht="14.25" customHeight="1" x14ac:dyDescent="0.45">
      <c r="A54" s="26">
        <f t="shared" ref="A54:I54" si="53">A53</f>
        <v>2024</v>
      </c>
      <c r="B54" s="27">
        <f t="shared" si="53"/>
        <v>11</v>
      </c>
      <c r="C54" s="27">
        <f t="shared" si="53"/>
        <v>27</v>
      </c>
      <c r="D54" s="28">
        <f t="shared" si="53"/>
        <v>0.61805555555555558</v>
      </c>
      <c r="E54" s="29">
        <f t="shared" si="53"/>
        <v>44</v>
      </c>
      <c r="F54" s="49">
        <f t="shared" si="53"/>
        <v>13.233510000000001</v>
      </c>
      <c r="G54" s="31">
        <f t="shared" si="53"/>
        <v>100.66726</v>
      </c>
      <c r="H54" s="32">
        <f t="shared" si="53"/>
        <v>21.4</v>
      </c>
      <c r="I54" s="27">
        <f t="shared" si="53"/>
        <v>3</v>
      </c>
      <c r="J54" s="33" t="s">
        <v>52</v>
      </c>
      <c r="K54" s="32">
        <v>20</v>
      </c>
      <c r="L54" s="34"/>
      <c r="M54" s="35"/>
      <c r="N54" s="50">
        <f t="shared" si="52"/>
        <v>4.7</v>
      </c>
      <c r="O54" s="37">
        <v>29.5</v>
      </c>
      <c r="P54" s="38">
        <v>29.759</v>
      </c>
      <c r="Q54" s="51">
        <v>29.76</v>
      </c>
      <c r="R54" s="38">
        <v>7.94</v>
      </c>
      <c r="S54" s="38">
        <v>8.16</v>
      </c>
      <c r="T54" s="37">
        <v>28.9</v>
      </c>
      <c r="U54" s="38">
        <v>31.870999999999999</v>
      </c>
      <c r="V54" s="52">
        <v>31.74</v>
      </c>
      <c r="W54" s="38">
        <v>6.94</v>
      </c>
      <c r="X54" s="38">
        <v>6.7789999999999999</v>
      </c>
      <c r="Y54" s="38">
        <v>6.24</v>
      </c>
      <c r="Z54" s="38">
        <f t="shared" si="32"/>
        <v>6.1956181726736999</v>
      </c>
      <c r="AA54" s="41">
        <v>4.9000000000000004</v>
      </c>
      <c r="AB54" s="53"/>
      <c r="AC54" s="42">
        <v>0.76</v>
      </c>
      <c r="AD54" s="43">
        <v>1.28</v>
      </c>
      <c r="AF54" s="115"/>
      <c r="AG54" s="143"/>
      <c r="AH54" s="117"/>
      <c r="AI54" s="113"/>
      <c r="AJ54" s="147"/>
      <c r="AK54" s="147"/>
      <c r="AL54" s="147"/>
      <c r="AM54" s="147"/>
      <c r="AN54" s="112"/>
      <c r="AO54" s="112"/>
      <c r="AP54" s="108"/>
      <c r="AQ54" s="45">
        <v>4.6300000000000001E-2</v>
      </c>
      <c r="AR54" s="46">
        <v>9.3203999999999994</v>
      </c>
      <c r="AS54" s="46">
        <v>0.16389999999999999</v>
      </c>
      <c r="AT54" s="46">
        <v>1.5284</v>
      </c>
      <c r="AU54" s="46">
        <v>1.1839999999999999</v>
      </c>
      <c r="AV54" s="47">
        <v>90.456000000000003</v>
      </c>
      <c r="AW54" s="46"/>
      <c r="AX54" s="46"/>
      <c r="AY54" s="48"/>
    </row>
    <row r="55" spans="1:51" customFormat="1" ht="14.25" customHeight="1" x14ac:dyDescent="0.45">
      <c r="A55" s="26">
        <v>2024</v>
      </c>
      <c r="B55" s="54">
        <v>11</v>
      </c>
      <c r="C55" s="27">
        <v>27</v>
      </c>
      <c r="D55" s="28">
        <v>0.70138888888888884</v>
      </c>
      <c r="E55" s="29">
        <v>49</v>
      </c>
      <c r="F55" s="30">
        <v>13.23236</v>
      </c>
      <c r="G55" s="31">
        <v>100.80065999999999</v>
      </c>
      <c r="H55" s="32">
        <v>21.4</v>
      </c>
      <c r="I55" s="27">
        <v>3</v>
      </c>
      <c r="J55" s="33" t="s">
        <v>47</v>
      </c>
      <c r="K55" s="32">
        <v>1</v>
      </c>
      <c r="L55" s="34">
        <v>8</v>
      </c>
      <c r="M55" s="35" t="s">
        <v>48</v>
      </c>
      <c r="N55" s="36">
        <v>3</v>
      </c>
      <c r="O55" s="37">
        <v>29.6</v>
      </c>
      <c r="P55" s="38">
        <v>29.911000000000001</v>
      </c>
      <c r="Q55" s="51">
        <v>29.92</v>
      </c>
      <c r="R55" s="38">
        <v>7.95</v>
      </c>
      <c r="S55" s="38">
        <v>8.17</v>
      </c>
      <c r="T55" s="37">
        <v>28.9</v>
      </c>
      <c r="U55" s="38">
        <v>31.811</v>
      </c>
      <c r="V55" s="52">
        <v>31.76</v>
      </c>
      <c r="W55" s="38"/>
      <c r="X55" s="38">
        <v>7.64</v>
      </c>
      <c r="Y55" s="38">
        <v>6.57</v>
      </c>
      <c r="Z55" s="38">
        <f t="shared" si="32"/>
        <v>6.4551065323965231</v>
      </c>
      <c r="AA55" s="41"/>
      <c r="AB55" s="53">
        <v>0.96870000000000001</v>
      </c>
      <c r="AC55" s="42">
        <v>0.7</v>
      </c>
      <c r="AD55" s="43">
        <v>0.91</v>
      </c>
      <c r="AE55" s="44"/>
      <c r="AF55" s="120"/>
      <c r="AG55" s="143"/>
      <c r="AH55" s="117"/>
      <c r="AI55" s="113"/>
      <c r="AJ55" s="147"/>
      <c r="AK55" s="147"/>
      <c r="AL55" s="147"/>
      <c r="AM55" s="147"/>
      <c r="AN55" s="112"/>
      <c r="AO55" s="112"/>
      <c r="AP55" s="108"/>
      <c r="AQ55" s="45">
        <v>9.4600000000000004E-2</v>
      </c>
      <c r="AR55" s="46">
        <v>9.5395000000000003</v>
      </c>
      <c r="AS55" s="46">
        <v>0.16389999999999999</v>
      </c>
      <c r="AT55" s="46">
        <v>2.931</v>
      </c>
      <c r="AU55" s="46">
        <v>1.1839999999999999</v>
      </c>
      <c r="AV55" s="47">
        <v>128.57669999999999</v>
      </c>
      <c r="AW55" s="46"/>
      <c r="AX55" s="46"/>
      <c r="AY55" s="48" t="s">
        <v>62</v>
      </c>
    </row>
    <row r="56" spans="1:51" customFormat="1" ht="14.25" customHeight="1" x14ac:dyDescent="0.45">
      <c r="A56" s="26">
        <f t="shared" ref="A56:I56" si="54">A55</f>
        <v>2024</v>
      </c>
      <c r="B56" s="27">
        <f t="shared" si="54"/>
        <v>11</v>
      </c>
      <c r="C56" s="27">
        <f t="shared" si="54"/>
        <v>27</v>
      </c>
      <c r="D56" s="28">
        <f t="shared" si="54"/>
        <v>0.70138888888888884</v>
      </c>
      <c r="E56" s="29">
        <f t="shared" si="54"/>
        <v>49</v>
      </c>
      <c r="F56" s="49">
        <f t="shared" si="54"/>
        <v>13.23236</v>
      </c>
      <c r="G56" s="31">
        <f t="shared" si="54"/>
        <v>100.80065999999999</v>
      </c>
      <c r="H56" s="32">
        <f t="shared" si="54"/>
        <v>21.4</v>
      </c>
      <c r="I56" s="27">
        <f t="shared" si="54"/>
        <v>3</v>
      </c>
      <c r="J56" s="33" t="s">
        <v>51</v>
      </c>
      <c r="K56" s="32">
        <v>10</v>
      </c>
      <c r="L56" s="34"/>
      <c r="M56" s="35"/>
      <c r="N56" s="50">
        <f t="shared" ref="N56:N57" si="55">N55</f>
        <v>3</v>
      </c>
      <c r="O56" s="37">
        <v>29.5</v>
      </c>
      <c r="P56" s="38">
        <v>29.908999999999999</v>
      </c>
      <c r="Q56" s="51">
        <v>29.9</v>
      </c>
      <c r="R56" s="38">
        <v>7.9</v>
      </c>
      <c r="S56" s="38">
        <v>8.18</v>
      </c>
      <c r="T56" s="37">
        <v>28.7</v>
      </c>
      <c r="U56" s="38">
        <v>31.89</v>
      </c>
      <c r="V56" s="52">
        <v>31.76</v>
      </c>
      <c r="W56" s="38"/>
      <c r="X56" s="38">
        <v>7.2530000000000001</v>
      </c>
      <c r="Y56" s="38">
        <v>6.56</v>
      </c>
      <c r="Z56" s="38">
        <f t="shared" si="32"/>
        <v>6.4472432487685589</v>
      </c>
      <c r="AA56" s="41"/>
      <c r="AB56" s="53"/>
      <c r="AC56" s="42">
        <v>1.2</v>
      </c>
      <c r="AD56" s="43">
        <v>1</v>
      </c>
      <c r="AF56" s="115"/>
      <c r="AG56" s="143"/>
      <c r="AH56" s="117"/>
      <c r="AI56" s="113"/>
      <c r="AJ56" s="147"/>
      <c r="AK56" s="147"/>
      <c r="AL56" s="147"/>
      <c r="AM56" s="147"/>
      <c r="AN56" s="112"/>
      <c r="AO56" s="112"/>
      <c r="AP56" s="108"/>
      <c r="AQ56" s="45">
        <v>9.4600000000000004E-2</v>
      </c>
      <c r="AR56" s="46">
        <v>8.5754999999999999</v>
      </c>
      <c r="AS56" s="46">
        <v>0.2326</v>
      </c>
      <c r="AT56" s="46">
        <v>4.6750999999999996</v>
      </c>
      <c r="AU56" s="46">
        <v>1.0255000000000001</v>
      </c>
      <c r="AV56" s="47">
        <v>187.91800000000001</v>
      </c>
      <c r="AW56" s="46"/>
      <c r="AX56" s="46"/>
      <c r="AY56" s="48"/>
    </row>
    <row r="57" spans="1:51" customFormat="1" ht="14.25" customHeight="1" x14ac:dyDescent="0.45">
      <c r="A57" s="26">
        <f t="shared" ref="A57:I57" si="56">A56</f>
        <v>2024</v>
      </c>
      <c r="B57" s="27">
        <f t="shared" si="56"/>
        <v>11</v>
      </c>
      <c r="C57" s="27">
        <f t="shared" si="56"/>
        <v>27</v>
      </c>
      <c r="D57" s="28">
        <f t="shared" si="56"/>
        <v>0.70138888888888884</v>
      </c>
      <c r="E57" s="29">
        <f t="shared" si="56"/>
        <v>49</v>
      </c>
      <c r="F57" s="49">
        <f t="shared" si="56"/>
        <v>13.23236</v>
      </c>
      <c r="G57" s="31">
        <f t="shared" si="56"/>
        <v>100.80065999999999</v>
      </c>
      <c r="H57" s="32">
        <f t="shared" si="56"/>
        <v>21.4</v>
      </c>
      <c r="I57" s="27">
        <f t="shared" si="56"/>
        <v>3</v>
      </c>
      <c r="J57" s="33" t="s">
        <v>52</v>
      </c>
      <c r="K57" s="32">
        <v>20</v>
      </c>
      <c r="L57" s="34"/>
      <c r="M57" s="35"/>
      <c r="N57" s="50">
        <f t="shared" si="55"/>
        <v>3</v>
      </c>
      <c r="O57" s="37">
        <v>29.7</v>
      </c>
      <c r="P57" s="38">
        <v>29.902000000000001</v>
      </c>
      <c r="Q57" s="51">
        <v>29.88</v>
      </c>
      <c r="R57" s="38">
        <v>7.94</v>
      </c>
      <c r="S57" s="38">
        <v>8.18</v>
      </c>
      <c r="T57" s="37">
        <v>28.9</v>
      </c>
      <c r="U57" s="38">
        <v>31.984000000000002</v>
      </c>
      <c r="V57" s="52">
        <v>31.76</v>
      </c>
      <c r="W57" s="38"/>
      <c r="X57" s="38">
        <v>7.1669999999999998</v>
      </c>
      <c r="Y57" s="38">
        <v>6.51</v>
      </c>
      <c r="Z57" s="38">
        <f t="shared" si="32"/>
        <v>6.4079268306287371</v>
      </c>
      <c r="AA57" s="41"/>
      <c r="AB57" s="53"/>
      <c r="AC57" s="42">
        <v>0.92</v>
      </c>
      <c r="AD57" s="43">
        <v>1.26</v>
      </c>
      <c r="AF57" s="115"/>
      <c r="AG57" s="143"/>
      <c r="AH57" s="117"/>
      <c r="AI57" s="113"/>
      <c r="AJ57" s="147"/>
      <c r="AK57" s="147"/>
      <c r="AL57" s="147"/>
      <c r="AM57" s="147"/>
      <c r="AN57" s="112"/>
      <c r="AO57" s="112"/>
      <c r="AP57" s="108"/>
      <c r="AQ57" s="45">
        <v>4.6300000000000001E-2</v>
      </c>
      <c r="AR57" s="46">
        <v>13.5709</v>
      </c>
      <c r="AS57" s="46">
        <v>0.18679999999999999</v>
      </c>
      <c r="AT57" s="46">
        <v>5.2145999999999999</v>
      </c>
      <c r="AU57" s="46">
        <v>1.2509999999999999</v>
      </c>
      <c r="AV57" s="47">
        <v>144.56360000000001</v>
      </c>
      <c r="AW57" s="46"/>
      <c r="AX57" s="46"/>
      <c r="AY57" s="48"/>
    </row>
    <row r="58" spans="1:51" customFormat="1" ht="14.25" customHeight="1" x14ac:dyDescent="0.45">
      <c r="A58" s="26">
        <v>2024</v>
      </c>
      <c r="B58" s="27">
        <v>11</v>
      </c>
      <c r="C58" s="27">
        <v>29</v>
      </c>
      <c r="D58" s="28">
        <v>0.4375</v>
      </c>
      <c r="E58" s="29">
        <v>39</v>
      </c>
      <c r="F58" s="30">
        <v>13.54106</v>
      </c>
      <c r="G58" s="31">
        <v>100.59703</v>
      </c>
      <c r="H58" s="32">
        <v>4.9000000000000004</v>
      </c>
      <c r="I58" s="27">
        <v>2</v>
      </c>
      <c r="J58" s="33" t="s">
        <v>47</v>
      </c>
      <c r="K58" s="32">
        <v>1</v>
      </c>
      <c r="L58" s="34">
        <v>7</v>
      </c>
      <c r="M58" s="35" t="s">
        <v>48</v>
      </c>
      <c r="N58" s="36">
        <v>1</v>
      </c>
      <c r="O58" s="37">
        <v>27.9</v>
      </c>
      <c r="P58" s="38">
        <v>28.738</v>
      </c>
      <c r="Q58" s="51">
        <v>28.74</v>
      </c>
      <c r="R58" s="38">
        <v>7.48</v>
      </c>
      <c r="S58" s="38">
        <v>7.29</v>
      </c>
      <c r="T58" s="37">
        <v>18.7</v>
      </c>
      <c r="U58" s="38">
        <v>20.277999999999999</v>
      </c>
      <c r="V58" s="52">
        <v>20.21</v>
      </c>
      <c r="W58" s="38">
        <v>4.6399999999999997</v>
      </c>
      <c r="X58" s="38">
        <v>4.867</v>
      </c>
      <c r="Y58" s="38">
        <v>4.66</v>
      </c>
      <c r="Z58" s="38">
        <f t="shared" si="32"/>
        <v>4.9532193594553311</v>
      </c>
      <c r="AA58" s="41">
        <v>13.2</v>
      </c>
      <c r="AB58" s="53">
        <v>7.9619999999999997</v>
      </c>
      <c r="AC58" s="42">
        <v>3.53</v>
      </c>
      <c r="AD58" s="43">
        <v>5.48</v>
      </c>
      <c r="AE58" s="44" t="s">
        <v>49</v>
      </c>
      <c r="AF58" s="120" t="s">
        <v>49</v>
      </c>
      <c r="AG58" s="143">
        <v>2227.2779084792901</v>
      </c>
      <c r="AH58" s="117">
        <v>7.4882888530508671</v>
      </c>
      <c r="AI58" s="113">
        <v>7.4440070909708762</v>
      </c>
      <c r="AJ58" s="147">
        <v>2135.9592103261321</v>
      </c>
      <c r="AK58" s="147">
        <v>2113.1412800417606</v>
      </c>
      <c r="AL58" s="147">
        <v>49.114239483626982</v>
      </c>
      <c r="AM58" s="147">
        <v>59.43799811484584</v>
      </c>
      <c r="AN58" s="112">
        <v>1.3491754429880809</v>
      </c>
      <c r="AO58" s="112">
        <v>0.84806471237891901</v>
      </c>
      <c r="AP58" s="108">
        <f t="shared" ref="AP58" si="57">SUM(AK58:AM58)</f>
        <v>2221.6935176402335</v>
      </c>
      <c r="AQ58" s="45">
        <v>2.5099999999999998</v>
      </c>
      <c r="AR58" s="46">
        <v>134.2405</v>
      </c>
      <c r="AS58" s="46">
        <v>5.1406999999999998</v>
      </c>
      <c r="AT58" s="46">
        <v>71.924999999999997</v>
      </c>
      <c r="AU58" s="46">
        <v>16.404199999999999</v>
      </c>
      <c r="AV58" s="47">
        <v>128.97120000000001</v>
      </c>
      <c r="AW58" s="46"/>
      <c r="AX58" s="46"/>
      <c r="AY58" s="48" t="s">
        <v>63</v>
      </c>
    </row>
    <row r="59" spans="1:51" customFormat="1" ht="14.25" customHeight="1" x14ac:dyDescent="0.45">
      <c r="A59" s="26">
        <f t="shared" ref="A59:I59" si="58">A58</f>
        <v>2024</v>
      </c>
      <c r="B59" s="27">
        <f t="shared" si="58"/>
        <v>11</v>
      </c>
      <c r="C59" s="27">
        <f t="shared" si="58"/>
        <v>29</v>
      </c>
      <c r="D59" s="28">
        <f t="shared" si="58"/>
        <v>0.4375</v>
      </c>
      <c r="E59" s="29">
        <f t="shared" si="58"/>
        <v>39</v>
      </c>
      <c r="F59" s="49">
        <f t="shared" si="58"/>
        <v>13.54106</v>
      </c>
      <c r="G59" s="31">
        <f t="shared" si="58"/>
        <v>100.59703</v>
      </c>
      <c r="H59" s="32">
        <f t="shared" si="58"/>
        <v>4.9000000000000004</v>
      </c>
      <c r="I59" s="27">
        <f t="shared" si="58"/>
        <v>2</v>
      </c>
      <c r="J59" s="33" t="s">
        <v>51</v>
      </c>
      <c r="K59" s="32"/>
      <c r="L59" s="34"/>
      <c r="M59" s="35"/>
      <c r="N59" s="50">
        <f t="shared" ref="N59:N60" si="59">N58</f>
        <v>1</v>
      </c>
      <c r="O59" s="37"/>
      <c r="P59" s="38"/>
      <c r="Q59" s="51"/>
      <c r="R59" s="38"/>
      <c r="T59" s="37"/>
      <c r="U59" s="38"/>
      <c r="V59" s="52"/>
      <c r="W59" s="38"/>
      <c r="X59" s="38"/>
      <c r="Y59" s="38"/>
      <c r="Z59" s="38"/>
      <c r="AA59" s="41"/>
      <c r="AB59" s="53"/>
      <c r="AC59" s="42"/>
      <c r="AD59" s="43"/>
      <c r="AF59" s="115"/>
      <c r="AG59" s="145"/>
      <c r="AH59" s="119"/>
      <c r="AI59" s="113"/>
      <c r="AJ59" s="147"/>
      <c r="AK59" s="147"/>
      <c r="AL59" s="147"/>
      <c r="AM59" s="147"/>
      <c r="AN59" s="112"/>
      <c r="AO59" s="112"/>
      <c r="AP59" s="108"/>
      <c r="AQ59" s="45"/>
      <c r="AR59" s="46"/>
      <c r="AS59" s="46"/>
      <c r="AT59" s="46"/>
      <c r="AU59" s="46"/>
      <c r="AV59" s="47"/>
      <c r="AW59" s="46"/>
      <c r="AX59" s="46"/>
      <c r="AY59" s="48"/>
    </row>
    <row r="60" spans="1:51" customFormat="1" ht="14.25" customHeight="1" x14ac:dyDescent="0.45">
      <c r="A60" s="26">
        <f t="shared" ref="A60:I60" si="60">A59</f>
        <v>2024</v>
      </c>
      <c r="B60" s="27">
        <f t="shared" si="60"/>
        <v>11</v>
      </c>
      <c r="C60" s="27">
        <f t="shared" si="60"/>
        <v>29</v>
      </c>
      <c r="D60" s="28">
        <f t="shared" si="60"/>
        <v>0.4375</v>
      </c>
      <c r="E60" s="29">
        <f t="shared" si="60"/>
        <v>39</v>
      </c>
      <c r="F60" s="49">
        <f t="shared" si="60"/>
        <v>13.54106</v>
      </c>
      <c r="G60" s="31">
        <f t="shared" si="60"/>
        <v>100.59703</v>
      </c>
      <c r="H60" s="32">
        <f t="shared" si="60"/>
        <v>4.9000000000000004</v>
      </c>
      <c r="I60" s="27">
        <f t="shared" si="60"/>
        <v>2</v>
      </c>
      <c r="J60" s="33" t="s">
        <v>52</v>
      </c>
      <c r="K60" s="32">
        <v>4</v>
      </c>
      <c r="L60" s="34"/>
      <c r="M60" s="35"/>
      <c r="N60" s="50">
        <f t="shared" si="59"/>
        <v>1</v>
      </c>
      <c r="O60" s="37">
        <v>28.1</v>
      </c>
      <c r="P60" s="38">
        <v>27.875</v>
      </c>
      <c r="Q60" s="51">
        <v>27.87</v>
      </c>
      <c r="R60" s="38">
        <v>7.6</v>
      </c>
      <c r="S60" s="38">
        <v>7.84</v>
      </c>
      <c r="T60" s="37">
        <v>19.899999999999999</v>
      </c>
      <c r="U60" s="38">
        <v>29.263999999999999</v>
      </c>
      <c r="V60" s="52">
        <v>29.2</v>
      </c>
      <c r="W60" s="38">
        <v>4.8499999999999996</v>
      </c>
      <c r="X60" s="38">
        <v>5.4349999999999996</v>
      </c>
      <c r="Y60" s="38">
        <v>5.17</v>
      </c>
      <c r="Z60" s="38">
        <f t="shared" ref="Z60:Z61" si="61">Y60*$W$1+$Y$1</f>
        <v>5.3542468244815131</v>
      </c>
      <c r="AA60" s="41">
        <v>14.63</v>
      </c>
      <c r="AB60" s="53"/>
      <c r="AC60" s="42">
        <v>7.01</v>
      </c>
      <c r="AD60" s="43">
        <v>10.3</v>
      </c>
      <c r="AF60" s="115"/>
      <c r="AG60" s="143">
        <v>2172.994486474428</v>
      </c>
      <c r="AH60" s="117">
        <v>7.5773296458230384</v>
      </c>
      <c r="AI60" s="113">
        <v>7.5394954399648864</v>
      </c>
      <c r="AJ60" s="147">
        <v>1494.1367843645137</v>
      </c>
      <c r="AK60" s="147">
        <v>1997.1531061472272</v>
      </c>
      <c r="AL60" s="147">
        <v>72.243844530813135</v>
      </c>
      <c r="AM60" s="147">
        <v>40.569522975872523</v>
      </c>
      <c r="AN60" s="112">
        <v>1.8333343012240479</v>
      </c>
      <c r="AO60" s="112">
        <v>1.2011046213334311</v>
      </c>
      <c r="AP60" s="108">
        <f t="shared" ref="AP60" si="62">SUM(AK60:AM60)</f>
        <v>2109.966473653913</v>
      </c>
      <c r="AQ60" s="45">
        <v>2.2684000000000002</v>
      </c>
      <c r="AR60" s="46">
        <v>102.4716</v>
      </c>
      <c r="AS60" s="46">
        <v>4.0995999999999997</v>
      </c>
      <c r="AT60" s="46">
        <v>87.658600000000007</v>
      </c>
      <c r="AU60" s="46">
        <v>15.8154</v>
      </c>
      <c r="AV60" s="47">
        <v>142.2484</v>
      </c>
      <c r="AW60" s="46"/>
      <c r="AX60" s="46"/>
      <c r="AY60" s="48"/>
    </row>
    <row r="61" spans="1:51" customFormat="1" ht="14.25" customHeight="1" x14ac:dyDescent="0.45">
      <c r="A61" s="26">
        <v>2024</v>
      </c>
      <c r="B61" s="27">
        <v>11</v>
      </c>
      <c r="C61" s="27">
        <v>29</v>
      </c>
      <c r="D61" s="28">
        <v>0.5</v>
      </c>
      <c r="E61" s="29">
        <v>38</v>
      </c>
      <c r="F61" s="30">
        <v>13.48795</v>
      </c>
      <c r="G61" s="31">
        <v>100.62009999999999</v>
      </c>
      <c r="H61" s="32">
        <v>3.7</v>
      </c>
      <c r="I61" s="27">
        <v>2</v>
      </c>
      <c r="J61" s="33" t="s">
        <v>47</v>
      </c>
      <c r="K61" s="32">
        <v>1</v>
      </c>
      <c r="L61" s="34">
        <v>8</v>
      </c>
      <c r="M61" s="35" t="s">
        <v>48</v>
      </c>
      <c r="N61" s="36">
        <v>0.3</v>
      </c>
      <c r="O61" s="37">
        <v>27.3</v>
      </c>
      <c r="P61" s="38">
        <v>27.83</v>
      </c>
      <c r="Q61" s="51">
        <v>27.83</v>
      </c>
      <c r="R61" s="38">
        <v>7.48</v>
      </c>
      <c r="S61" s="38">
        <v>8.02</v>
      </c>
      <c r="T61" s="37">
        <v>18.7</v>
      </c>
      <c r="U61" s="38">
        <v>30.407</v>
      </c>
      <c r="V61" s="52">
        <v>30.38</v>
      </c>
      <c r="W61" s="38">
        <v>6.34</v>
      </c>
      <c r="X61" s="38">
        <v>7.0890000000000004</v>
      </c>
      <c r="Y61" s="38">
        <v>6.33</v>
      </c>
      <c r="Z61" s="38">
        <f t="shared" si="61"/>
        <v>6.2663877253253784</v>
      </c>
      <c r="AA61" s="41">
        <v>40.17</v>
      </c>
      <c r="AB61" s="53">
        <v>4.6189</v>
      </c>
      <c r="AC61" s="42">
        <v>4.16</v>
      </c>
      <c r="AD61" s="43">
        <v>5.43</v>
      </c>
      <c r="AE61" s="44" t="s">
        <v>49</v>
      </c>
      <c r="AF61" s="115"/>
      <c r="AG61" s="143"/>
      <c r="AH61" s="117"/>
      <c r="AI61" s="113"/>
      <c r="AJ61" s="147"/>
      <c r="AK61" s="147"/>
      <c r="AL61" s="147"/>
      <c r="AM61" s="147"/>
      <c r="AN61" s="112"/>
      <c r="AO61" s="112"/>
      <c r="AP61" s="108"/>
      <c r="AQ61" s="45">
        <v>0.91579999999999995</v>
      </c>
      <c r="AR61" s="46">
        <v>11.3276</v>
      </c>
      <c r="AS61" s="46">
        <v>0.5071</v>
      </c>
      <c r="AT61" s="46">
        <v>61.136200000000002</v>
      </c>
      <c r="AU61" s="46">
        <v>1.0205</v>
      </c>
      <c r="AV61" s="47">
        <v>137.79660000000001</v>
      </c>
      <c r="AW61" s="46"/>
      <c r="AX61" s="46"/>
      <c r="AY61" s="48" t="s">
        <v>64</v>
      </c>
    </row>
    <row r="62" spans="1:51" customFormat="1" ht="14.25" customHeight="1" x14ac:dyDescent="0.45">
      <c r="A62" s="26">
        <f t="shared" ref="A62:I62" si="63">A61</f>
        <v>2024</v>
      </c>
      <c r="B62" s="27">
        <f t="shared" si="63"/>
        <v>11</v>
      </c>
      <c r="C62" s="27">
        <f t="shared" si="63"/>
        <v>29</v>
      </c>
      <c r="D62" s="28">
        <f t="shared" si="63"/>
        <v>0.5</v>
      </c>
      <c r="E62" s="29">
        <f t="shared" si="63"/>
        <v>38</v>
      </c>
      <c r="F62" s="49">
        <f t="shared" si="63"/>
        <v>13.48795</v>
      </c>
      <c r="G62" s="31">
        <f t="shared" si="63"/>
        <v>100.62009999999999</v>
      </c>
      <c r="H62" s="32">
        <f t="shared" si="63"/>
        <v>3.7</v>
      </c>
      <c r="I62" s="27">
        <f t="shared" si="63"/>
        <v>2</v>
      </c>
      <c r="J62" s="33" t="s">
        <v>51</v>
      </c>
      <c r="K62" s="32"/>
      <c r="L62" s="34"/>
      <c r="M62" s="35"/>
      <c r="N62" s="50">
        <f t="shared" ref="N62:N63" si="64">N61</f>
        <v>0.3</v>
      </c>
      <c r="O62" s="37"/>
      <c r="P62" s="38"/>
      <c r="Q62" s="51"/>
      <c r="R62" s="38"/>
      <c r="T62" s="37"/>
      <c r="U62" s="38"/>
      <c r="V62" s="52"/>
      <c r="W62" s="38"/>
      <c r="X62" s="38"/>
      <c r="Y62" s="38"/>
      <c r="Z62" s="38"/>
      <c r="AA62" s="41"/>
      <c r="AB62" s="53"/>
      <c r="AC62" s="42"/>
      <c r="AD62" s="43"/>
      <c r="AF62" s="115"/>
      <c r="AG62" s="143"/>
      <c r="AH62" s="117"/>
      <c r="AI62" s="210"/>
      <c r="AJ62" s="149"/>
      <c r="AK62" s="147"/>
      <c r="AL62" s="149"/>
      <c r="AM62" s="149"/>
      <c r="AN62" s="112"/>
      <c r="AO62" s="112"/>
      <c r="AP62" s="108"/>
      <c r="AQ62" s="45"/>
      <c r="AR62" s="46"/>
      <c r="AS62" s="46"/>
      <c r="AT62" s="46"/>
      <c r="AU62" s="46"/>
      <c r="AV62" s="47"/>
      <c r="AW62" s="46"/>
      <c r="AX62" s="46"/>
      <c r="AY62" s="48"/>
    </row>
    <row r="63" spans="1:51" customFormat="1" ht="14.25" customHeight="1" x14ac:dyDescent="0.45">
      <c r="A63" s="26">
        <f t="shared" ref="A63:I63" si="65">A62</f>
        <v>2024</v>
      </c>
      <c r="B63" s="27">
        <f t="shared" si="65"/>
        <v>11</v>
      </c>
      <c r="C63" s="27">
        <f t="shared" si="65"/>
        <v>29</v>
      </c>
      <c r="D63" s="28">
        <f t="shared" si="65"/>
        <v>0.5</v>
      </c>
      <c r="E63" s="29">
        <f t="shared" si="65"/>
        <v>38</v>
      </c>
      <c r="F63" s="49">
        <f t="shared" si="65"/>
        <v>13.48795</v>
      </c>
      <c r="G63" s="31">
        <f t="shared" si="65"/>
        <v>100.62009999999999</v>
      </c>
      <c r="H63" s="32">
        <f t="shared" si="65"/>
        <v>3.7</v>
      </c>
      <c r="I63" s="27">
        <f t="shared" si="65"/>
        <v>2</v>
      </c>
      <c r="J63" s="33" t="s">
        <v>52</v>
      </c>
      <c r="K63" s="32">
        <v>2.5</v>
      </c>
      <c r="L63" s="34"/>
      <c r="M63" s="35"/>
      <c r="N63" s="50">
        <f t="shared" si="64"/>
        <v>0.3</v>
      </c>
      <c r="O63" s="37">
        <v>27</v>
      </c>
      <c r="P63" s="38">
        <v>27.835000000000001</v>
      </c>
      <c r="Q63" s="51">
        <v>27.84</v>
      </c>
      <c r="R63" s="38">
        <v>7.6</v>
      </c>
      <c r="S63" s="38">
        <v>8.0399999999999991</v>
      </c>
      <c r="T63" s="37">
        <v>19.899999999999999</v>
      </c>
      <c r="U63" s="38">
        <v>30.407</v>
      </c>
      <c r="V63" s="52">
        <v>30.38</v>
      </c>
      <c r="W63" s="38">
        <v>6.25</v>
      </c>
      <c r="X63" s="38">
        <v>6.73</v>
      </c>
      <c r="Y63" s="38">
        <v>6.32</v>
      </c>
      <c r="Z63" s="38">
        <f t="shared" ref="Z63:Z88" si="66">Y63*$W$1+$Y$1</f>
        <v>6.2585244416974142</v>
      </c>
      <c r="AA63" s="41">
        <v>49</v>
      </c>
      <c r="AB63" s="53"/>
      <c r="AC63" s="42">
        <v>3.23</v>
      </c>
      <c r="AD63" s="43">
        <v>5.88</v>
      </c>
      <c r="AF63" s="115"/>
      <c r="AG63" s="143"/>
      <c r="AH63" s="117"/>
      <c r="AI63" s="210"/>
      <c r="AJ63" s="149"/>
      <c r="AK63" s="147"/>
      <c r="AL63" s="149"/>
      <c r="AM63" s="149"/>
      <c r="AN63" s="112"/>
      <c r="AO63" s="112"/>
      <c r="AP63" s="108"/>
      <c r="AQ63" s="45">
        <v>0.91579999999999995</v>
      </c>
      <c r="AR63" s="46">
        <v>8.6984999999999992</v>
      </c>
      <c r="AS63" s="46">
        <v>0.55289999999999995</v>
      </c>
      <c r="AT63" s="46">
        <v>41.356900000000003</v>
      </c>
      <c r="AU63" s="46">
        <v>1.0197000000000001</v>
      </c>
      <c r="AV63" s="47">
        <v>129.21190000000001</v>
      </c>
      <c r="AW63" s="46"/>
      <c r="AX63" s="46"/>
      <c r="AY63" s="48"/>
    </row>
    <row r="64" spans="1:51" customFormat="1" ht="14.25" customHeight="1" x14ac:dyDescent="0.45">
      <c r="A64" s="26">
        <v>2024</v>
      </c>
      <c r="B64" s="27">
        <v>11</v>
      </c>
      <c r="C64" s="27">
        <v>29</v>
      </c>
      <c r="D64" s="28">
        <v>0.52777777777777779</v>
      </c>
      <c r="E64" s="29">
        <v>37</v>
      </c>
      <c r="F64" s="30">
        <v>13.429819999999999</v>
      </c>
      <c r="G64" s="31">
        <v>100.5838</v>
      </c>
      <c r="H64" s="32">
        <v>6.1</v>
      </c>
      <c r="I64" s="27">
        <v>3</v>
      </c>
      <c r="J64" s="33" t="s">
        <v>47</v>
      </c>
      <c r="K64" s="32">
        <v>1</v>
      </c>
      <c r="L64" s="34">
        <v>8</v>
      </c>
      <c r="M64" s="35" t="s">
        <v>48</v>
      </c>
      <c r="N64" s="36">
        <v>0.3</v>
      </c>
      <c r="O64" s="37">
        <v>28.2</v>
      </c>
      <c r="P64" s="38">
        <v>28.684999999999999</v>
      </c>
      <c r="Q64" s="51">
        <v>28.68</v>
      </c>
      <c r="R64" s="38">
        <v>7.85</v>
      </c>
      <c r="S64" s="38">
        <v>8.1</v>
      </c>
      <c r="T64" s="37">
        <v>28.5</v>
      </c>
      <c r="U64" s="38">
        <v>31.242999999999999</v>
      </c>
      <c r="V64" s="52">
        <v>31.22</v>
      </c>
      <c r="W64" s="38">
        <v>6.56</v>
      </c>
      <c r="X64" s="38">
        <v>6.5069999999999997</v>
      </c>
      <c r="Y64" s="38">
        <v>5.99</v>
      </c>
      <c r="Z64" s="38">
        <f t="shared" si="66"/>
        <v>5.9990360819745909</v>
      </c>
      <c r="AA64" s="41">
        <v>33.17</v>
      </c>
      <c r="AB64" s="53">
        <v>1.8471</v>
      </c>
      <c r="AC64" s="42">
        <v>1.23</v>
      </c>
      <c r="AD64" s="43">
        <v>3.58</v>
      </c>
      <c r="AF64" s="115"/>
      <c r="AG64" s="143"/>
      <c r="AH64" s="117"/>
      <c r="AI64" s="210"/>
      <c r="AJ64" s="149"/>
      <c r="AK64" s="147"/>
      <c r="AL64" s="149"/>
      <c r="AM64" s="149"/>
      <c r="AN64" s="112"/>
      <c r="AO64" s="112"/>
      <c r="AP64" s="108"/>
      <c r="AQ64" s="45">
        <v>0.28789999999999999</v>
      </c>
      <c r="AR64" s="46">
        <v>10.2844</v>
      </c>
      <c r="AS64" s="46">
        <v>0.27829999999999999</v>
      </c>
      <c r="AT64" s="46">
        <v>30.568100000000001</v>
      </c>
      <c r="AU64" s="46">
        <v>1.5044</v>
      </c>
      <c r="AV64" s="47">
        <v>162.2731</v>
      </c>
      <c r="AW64" s="46"/>
      <c r="AX64" s="46"/>
      <c r="AY64" s="48" t="s">
        <v>65</v>
      </c>
    </row>
    <row r="65" spans="1:51" customFormat="1" ht="14.25" customHeight="1" x14ac:dyDescent="0.45">
      <c r="A65" s="26">
        <f t="shared" ref="A65:I65" si="67">A64</f>
        <v>2024</v>
      </c>
      <c r="B65" s="27">
        <f t="shared" si="67"/>
        <v>11</v>
      </c>
      <c r="C65" s="27">
        <f t="shared" si="67"/>
        <v>29</v>
      </c>
      <c r="D65" s="28">
        <f t="shared" si="67"/>
        <v>0.52777777777777779</v>
      </c>
      <c r="E65" s="29">
        <f t="shared" si="67"/>
        <v>37</v>
      </c>
      <c r="F65" s="49">
        <f t="shared" si="67"/>
        <v>13.429819999999999</v>
      </c>
      <c r="G65" s="31">
        <f t="shared" si="67"/>
        <v>100.5838</v>
      </c>
      <c r="H65" s="32">
        <f t="shared" si="67"/>
        <v>6.1</v>
      </c>
      <c r="I65" s="27">
        <f t="shared" si="67"/>
        <v>3</v>
      </c>
      <c r="J65" s="33" t="s">
        <v>51</v>
      </c>
      <c r="K65" s="32">
        <v>3</v>
      </c>
      <c r="L65" s="34"/>
      <c r="M65" s="35"/>
      <c r="N65" s="50">
        <f t="shared" ref="N65:N66" si="68">N64</f>
        <v>0.3</v>
      </c>
      <c r="O65" s="37">
        <v>28.1</v>
      </c>
      <c r="P65" s="38">
        <v>28.68</v>
      </c>
      <c r="Q65" s="51">
        <v>28.69</v>
      </c>
      <c r="R65" s="38">
        <v>7.99</v>
      </c>
      <c r="S65" s="38">
        <v>8.1300000000000008</v>
      </c>
      <c r="T65" s="37">
        <v>28.6</v>
      </c>
      <c r="U65" s="38">
        <v>31.254999999999999</v>
      </c>
      <c r="V65" s="43">
        <v>31.22</v>
      </c>
      <c r="W65" s="38">
        <v>5.93</v>
      </c>
      <c r="X65" s="38">
        <v>6.3339999999999996</v>
      </c>
      <c r="Y65" s="38">
        <v>5.98</v>
      </c>
      <c r="Z65" s="38">
        <f t="shared" si="66"/>
        <v>5.9911727983466267</v>
      </c>
      <c r="AA65" s="41">
        <v>28.5</v>
      </c>
      <c r="AB65" s="53"/>
      <c r="AC65" s="42">
        <v>1.92</v>
      </c>
      <c r="AD65" s="43">
        <v>3.75</v>
      </c>
      <c r="AF65" s="115"/>
      <c r="AG65" s="143"/>
      <c r="AH65" s="117"/>
      <c r="AI65" s="210"/>
      <c r="AJ65" s="149"/>
      <c r="AK65" s="147"/>
      <c r="AL65" s="149"/>
      <c r="AM65" s="149"/>
      <c r="AN65" s="112"/>
      <c r="AO65" s="112"/>
      <c r="AP65" s="108"/>
      <c r="AQ65" s="45">
        <v>0.40860000000000002</v>
      </c>
      <c r="AR65" s="46">
        <v>8.8384</v>
      </c>
      <c r="AS65" s="46">
        <v>0.34699999999999998</v>
      </c>
      <c r="AT65" s="46">
        <v>50.347499999999997</v>
      </c>
      <c r="AU65" s="46">
        <v>1.181</v>
      </c>
      <c r="AV65" s="47">
        <v>107.32850000000001</v>
      </c>
      <c r="AW65" s="46"/>
      <c r="AX65" s="46"/>
      <c r="AY65" s="48"/>
    </row>
    <row r="66" spans="1:51" customFormat="1" ht="14.25" customHeight="1" x14ac:dyDescent="0.45">
      <c r="A66" s="26">
        <f t="shared" ref="A66:I66" si="69">A65</f>
        <v>2024</v>
      </c>
      <c r="B66" s="27">
        <f t="shared" si="69"/>
        <v>11</v>
      </c>
      <c r="C66" s="27">
        <f t="shared" si="69"/>
        <v>29</v>
      </c>
      <c r="D66" s="28">
        <f t="shared" si="69"/>
        <v>0.52777777777777779</v>
      </c>
      <c r="E66" s="29">
        <f t="shared" si="69"/>
        <v>37</v>
      </c>
      <c r="F66" s="49">
        <f t="shared" si="69"/>
        <v>13.429819999999999</v>
      </c>
      <c r="G66" s="31">
        <f t="shared" si="69"/>
        <v>100.5838</v>
      </c>
      <c r="H66" s="32">
        <f t="shared" si="69"/>
        <v>6.1</v>
      </c>
      <c r="I66" s="27">
        <f t="shared" si="69"/>
        <v>3</v>
      </c>
      <c r="J66" s="33" t="s">
        <v>52</v>
      </c>
      <c r="K66" s="32">
        <v>5</v>
      </c>
      <c r="L66" s="34"/>
      <c r="M66" s="35"/>
      <c r="N66" s="50">
        <f t="shared" si="68"/>
        <v>0.3</v>
      </c>
      <c r="O66" s="37">
        <v>28</v>
      </c>
      <c r="P66" s="38">
        <v>28.664000000000001</v>
      </c>
      <c r="Q66" s="51">
        <v>28.67</v>
      </c>
      <c r="R66" s="38">
        <v>7.98</v>
      </c>
      <c r="S66" s="38">
        <v>8.1300000000000008</v>
      </c>
      <c r="T66" s="37">
        <v>28.6</v>
      </c>
      <c r="U66" s="38">
        <v>31.254000000000001</v>
      </c>
      <c r="V66" s="52">
        <v>31.22</v>
      </c>
      <c r="W66" s="38">
        <v>6.01</v>
      </c>
      <c r="X66" s="38">
        <v>6.266</v>
      </c>
      <c r="Y66" s="38">
        <v>5.96</v>
      </c>
      <c r="Z66" s="38">
        <f t="shared" si="66"/>
        <v>5.9754462310906975</v>
      </c>
      <c r="AA66" s="41">
        <v>29.88</v>
      </c>
      <c r="AB66" s="53"/>
      <c r="AC66" s="42">
        <v>1.82</v>
      </c>
      <c r="AD66" s="43">
        <v>4.33</v>
      </c>
      <c r="AF66" s="115"/>
      <c r="AG66" s="143"/>
      <c r="AH66" s="117"/>
      <c r="AI66" s="210"/>
      <c r="AJ66" s="149"/>
      <c r="AK66" s="147"/>
      <c r="AL66" s="149"/>
      <c r="AM66" s="149"/>
      <c r="AN66" s="112"/>
      <c r="AO66" s="112"/>
      <c r="AP66" s="108"/>
      <c r="AQ66" s="45">
        <v>0.23960000000000001</v>
      </c>
      <c r="AR66" s="46">
        <v>9.8901000000000003</v>
      </c>
      <c r="AS66" s="46">
        <v>0.25540000000000002</v>
      </c>
      <c r="AT66" s="46">
        <v>45.4026</v>
      </c>
      <c r="AU66" s="46">
        <v>1.1707000000000001</v>
      </c>
      <c r="AV66" s="47">
        <v>157.00309999999999</v>
      </c>
      <c r="AW66" s="46"/>
      <c r="AX66" s="46"/>
      <c r="AY66" s="48"/>
    </row>
    <row r="67" spans="1:51" customFormat="1" ht="14.25" customHeight="1" x14ac:dyDescent="0.45">
      <c r="A67" s="26">
        <v>2024</v>
      </c>
      <c r="B67" s="27">
        <v>11</v>
      </c>
      <c r="C67" s="27">
        <v>29</v>
      </c>
      <c r="D67" s="28">
        <v>0.56944444444444442</v>
      </c>
      <c r="E67" s="29">
        <v>36</v>
      </c>
      <c r="F67" s="30">
        <v>13.39955</v>
      </c>
      <c r="G67" s="31">
        <v>100.55817</v>
      </c>
      <c r="H67" s="32">
        <v>8.6999999999999993</v>
      </c>
      <c r="I67" s="27">
        <v>3</v>
      </c>
      <c r="J67" s="33" t="s">
        <v>47</v>
      </c>
      <c r="K67" s="32">
        <v>1</v>
      </c>
      <c r="L67" s="34">
        <v>6</v>
      </c>
      <c r="M67" s="35" t="s">
        <v>48</v>
      </c>
      <c r="N67" s="36">
        <v>0.6</v>
      </c>
      <c r="O67" s="37">
        <v>28.4</v>
      </c>
      <c r="P67" s="38">
        <v>28.9</v>
      </c>
      <c r="Q67" s="51">
        <v>28.92</v>
      </c>
      <c r="R67" s="38">
        <v>7.98</v>
      </c>
      <c r="S67" s="38">
        <v>8.1300000000000008</v>
      </c>
      <c r="T67" s="37">
        <v>28.7</v>
      </c>
      <c r="U67" s="38">
        <v>31.533000000000001</v>
      </c>
      <c r="V67" s="52">
        <v>31.51</v>
      </c>
      <c r="W67" s="38"/>
      <c r="X67" s="38">
        <v>6.4219999999999997</v>
      </c>
      <c r="Y67" s="38">
        <v>6.02</v>
      </c>
      <c r="Z67" s="38">
        <f t="shared" si="66"/>
        <v>6.0226259328584835</v>
      </c>
      <c r="AA67" s="41"/>
      <c r="AB67" s="53"/>
      <c r="AC67" s="42">
        <v>3.38</v>
      </c>
      <c r="AD67" s="43">
        <v>3.46</v>
      </c>
      <c r="AF67" s="115"/>
      <c r="AG67" s="143">
        <v>2123.624565615236</v>
      </c>
      <c r="AH67" s="117">
        <v>8.041476871357327</v>
      </c>
      <c r="AI67" s="210">
        <v>7.9832973343176263</v>
      </c>
      <c r="AJ67" s="149">
        <v>446.30570170250013</v>
      </c>
      <c r="AK67" s="147">
        <v>1667.8100981047617</v>
      </c>
      <c r="AL67" s="149">
        <v>184.19523501194928</v>
      </c>
      <c r="AM67" s="149">
        <v>11.691046470343286</v>
      </c>
      <c r="AN67" s="112">
        <v>4.6023373569930124</v>
      </c>
      <c r="AO67" s="112">
        <v>3.047050484479537</v>
      </c>
      <c r="AP67" s="108">
        <f t="shared" ref="AP67:AP69" si="70">SUM(AK67:AM67)</f>
        <v>1863.6963795870543</v>
      </c>
      <c r="AQ67" s="45"/>
      <c r="AR67" s="46"/>
      <c r="AS67" s="46"/>
      <c r="AT67" s="46"/>
      <c r="AU67" s="46"/>
      <c r="AV67" s="47"/>
      <c r="AW67" s="46"/>
      <c r="AX67" s="46"/>
      <c r="AY67" s="48" t="s">
        <v>66</v>
      </c>
    </row>
    <row r="68" spans="1:51" customFormat="1" ht="14.25" customHeight="1" x14ac:dyDescent="0.45">
      <c r="A68" s="26">
        <f t="shared" ref="A68:I68" si="71">A67</f>
        <v>2024</v>
      </c>
      <c r="B68" s="27">
        <f t="shared" si="71"/>
        <v>11</v>
      </c>
      <c r="C68" s="27">
        <f t="shared" si="71"/>
        <v>29</v>
      </c>
      <c r="D68" s="28">
        <f t="shared" si="71"/>
        <v>0.56944444444444442</v>
      </c>
      <c r="E68" s="29">
        <f t="shared" si="71"/>
        <v>36</v>
      </c>
      <c r="F68" s="49">
        <f t="shared" si="71"/>
        <v>13.39955</v>
      </c>
      <c r="G68" s="31">
        <f t="shared" si="71"/>
        <v>100.55817</v>
      </c>
      <c r="H68" s="32">
        <f t="shared" si="71"/>
        <v>8.6999999999999993</v>
      </c>
      <c r="I68" s="27">
        <f t="shared" si="71"/>
        <v>3</v>
      </c>
      <c r="J68" s="33" t="s">
        <v>51</v>
      </c>
      <c r="K68" s="32">
        <v>4</v>
      </c>
      <c r="L68" s="34"/>
      <c r="M68" s="35"/>
      <c r="N68" s="50">
        <f t="shared" ref="N68:N69" si="72">N67</f>
        <v>0.6</v>
      </c>
      <c r="O68" s="37">
        <v>28.5</v>
      </c>
      <c r="P68" s="38">
        <v>28.905999999999999</v>
      </c>
      <c r="Q68" s="51">
        <v>28.91</v>
      </c>
      <c r="R68" s="38">
        <v>8.1</v>
      </c>
      <c r="S68" s="38">
        <v>8.1300000000000008</v>
      </c>
      <c r="T68" s="37">
        <v>28.8</v>
      </c>
      <c r="U68" s="38">
        <v>31.547999999999998</v>
      </c>
      <c r="V68" s="52">
        <v>31.52</v>
      </c>
      <c r="W68" s="38"/>
      <c r="X68" s="38">
        <v>6.3760000000000003</v>
      </c>
      <c r="Y68" s="38">
        <v>5.98</v>
      </c>
      <c r="Z68" s="38">
        <f t="shared" si="66"/>
        <v>5.9911727983466267</v>
      </c>
      <c r="AA68" s="41"/>
      <c r="AB68" s="53"/>
      <c r="AC68" s="42">
        <v>1.25</v>
      </c>
      <c r="AD68" s="43">
        <v>3.27</v>
      </c>
      <c r="AF68" s="115"/>
      <c r="AG68" s="143">
        <v>2122.8971772967257</v>
      </c>
      <c r="AH68" s="117">
        <v>8.0387356385586202</v>
      </c>
      <c r="AI68" s="210">
        <v>7.9803881234286393</v>
      </c>
      <c r="AJ68" s="149">
        <v>449.57510041123879</v>
      </c>
      <c r="AK68" s="147">
        <v>1669.3114694634132</v>
      </c>
      <c r="AL68" s="149">
        <v>183.27375828665109</v>
      </c>
      <c r="AM68" s="149">
        <v>11.77413709479427</v>
      </c>
      <c r="AN68" s="112">
        <v>4.5769767211033994</v>
      </c>
      <c r="AO68" s="112">
        <v>3.0305503712023025</v>
      </c>
      <c r="AP68" s="108">
        <f t="shared" si="70"/>
        <v>1864.3593648448586</v>
      </c>
      <c r="AQ68" s="45"/>
      <c r="AR68" s="46"/>
      <c r="AS68" s="46"/>
      <c r="AT68" s="46"/>
      <c r="AU68" s="46"/>
      <c r="AV68" s="47"/>
      <c r="AW68" s="46"/>
      <c r="AX68" s="46"/>
      <c r="AY68" s="48"/>
    </row>
    <row r="69" spans="1:51" customFormat="1" ht="14.25" customHeight="1" x14ac:dyDescent="0.45">
      <c r="A69" s="26">
        <f t="shared" ref="A69:I69" si="73">A68</f>
        <v>2024</v>
      </c>
      <c r="B69" s="27">
        <f t="shared" si="73"/>
        <v>11</v>
      </c>
      <c r="C69" s="27">
        <f t="shared" si="73"/>
        <v>29</v>
      </c>
      <c r="D69" s="28">
        <f t="shared" si="73"/>
        <v>0.56944444444444442</v>
      </c>
      <c r="E69" s="29">
        <f t="shared" si="73"/>
        <v>36</v>
      </c>
      <c r="F69" s="49">
        <f t="shared" si="73"/>
        <v>13.39955</v>
      </c>
      <c r="G69" s="31">
        <f t="shared" si="73"/>
        <v>100.55817</v>
      </c>
      <c r="H69" s="32">
        <f t="shared" si="73"/>
        <v>8.6999999999999993</v>
      </c>
      <c r="I69" s="27">
        <f t="shared" si="73"/>
        <v>3</v>
      </c>
      <c r="J69" s="33" t="s">
        <v>52</v>
      </c>
      <c r="K69" s="32">
        <v>7</v>
      </c>
      <c r="L69" s="34"/>
      <c r="M69" s="35"/>
      <c r="N69" s="50">
        <f t="shared" si="72"/>
        <v>0.6</v>
      </c>
      <c r="O69" s="37">
        <v>28.5</v>
      </c>
      <c r="P69" s="38">
        <v>28.896000000000001</v>
      </c>
      <c r="Q69" s="51">
        <v>28.9</v>
      </c>
      <c r="R69" s="38">
        <v>8.11</v>
      </c>
      <c r="S69" s="38">
        <v>8.14</v>
      </c>
      <c r="T69" s="37">
        <v>28.8</v>
      </c>
      <c r="U69" s="38">
        <v>31.585999999999999</v>
      </c>
      <c r="V69" s="52">
        <v>31.52</v>
      </c>
      <c r="W69" s="38"/>
      <c r="X69" s="38">
        <v>6.3579999999999997</v>
      </c>
      <c r="Y69" s="38">
        <v>5.96</v>
      </c>
      <c r="Z69" s="38">
        <f t="shared" si="66"/>
        <v>5.9754462310906975</v>
      </c>
      <c r="AA69" s="41"/>
      <c r="AB69" s="53"/>
      <c r="AC69" s="42">
        <v>1.67</v>
      </c>
      <c r="AD69" s="43">
        <v>4.1100000000000003</v>
      </c>
      <c r="AF69" s="115"/>
      <c r="AG69" s="143">
        <v>2120.725079573248</v>
      </c>
      <c r="AH69" s="117">
        <v>8.0107769062242671</v>
      </c>
      <c r="AI69" s="210">
        <v>7.952708687555039</v>
      </c>
      <c r="AJ69" s="149">
        <v>484.7473970475753</v>
      </c>
      <c r="AK69" s="147">
        <v>1689.6185348327274</v>
      </c>
      <c r="AL69" s="149">
        <v>174.18407243947348</v>
      </c>
      <c r="AM69" s="149">
        <v>12.6958488408397</v>
      </c>
      <c r="AN69" s="112">
        <v>4.3467157868696811</v>
      </c>
      <c r="AO69" s="112">
        <v>2.8784022340369892</v>
      </c>
      <c r="AP69" s="108">
        <f t="shared" si="70"/>
        <v>1876.4984561130407</v>
      </c>
      <c r="AQ69" s="45"/>
      <c r="AR69" s="46"/>
      <c r="AS69" s="46"/>
      <c r="AT69" s="46"/>
      <c r="AU69" s="46"/>
      <c r="AV69" s="47"/>
      <c r="AW69" s="46"/>
      <c r="AX69" s="46"/>
      <c r="AY69" s="48"/>
    </row>
    <row r="70" spans="1:51" customFormat="1" ht="14.25" customHeight="1" x14ac:dyDescent="0.45">
      <c r="A70" s="26">
        <v>2024</v>
      </c>
      <c r="B70" s="54">
        <v>11</v>
      </c>
      <c r="C70" s="27">
        <v>29</v>
      </c>
      <c r="D70" s="28">
        <v>0.59583333333333333</v>
      </c>
      <c r="E70" s="29">
        <v>35</v>
      </c>
      <c r="F70" s="30">
        <v>13.36463</v>
      </c>
      <c r="G70" s="31">
        <v>100.53230000000001</v>
      </c>
      <c r="H70" s="32">
        <v>10</v>
      </c>
      <c r="I70" s="27">
        <v>3</v>
      </c>
      <c r="J70" s="33" t="s">
        <v>47</v>
      </c>
      <c r="K70" s="32">
        <v>1</v>
      </c>
      <c r="L70" s="34">
        <v>6</v>
      </c>
      <c r="M70" s="35" t="s">
        <v>48</v>
      </c>
      <c r="N70" s="36">
        <v>0.8</v>
      </c>
      <c r="O70" s="37">
        <v>28.6</v>
      </c>
      <c r="P70" s="38">
        <v>29.099</v>
      </c>
      <c r="Q70" s="51">
        <v>29.11</v>
      </c>
      <c r="R70" s="38">
        <v>8.1</v>
      </c>
      <c r="S70" s="38">
        <v>8.15</v>
      </c>
      <c r="T70" s="37">
        <v>28.9</v>
      </c>
      <c r="U70" s="38">
        <v>31.734000000000002</v>
      </c>
      <c r="V70" s="52">
        <v>31.73</v>
      </c>
      <c r="W70" s="38">
        <v>6.28</v>
      </c>
      <c r="X70" s="38">
        <v>6.633</v>
      </c>
      <c r="Y70" s="38">
        <v>6.22</v>
      </c>
      <c r="Z70" s="38">
        <f t="shared" si="66"/>
        <v>6.1798916054177706</v>
      </c>
      <c r="AA70" s="41">
        <v>14.28</v>
      </c>
      <c r="AB70" s="53">
        <v>1.7426999999999999</v>
      </c>
      <c r="AC70" s="42">
        <v>0.87</v>
      </c>
      <c r="AD70" s="43">
        <v>1.31</v>
      </c>
      <c r="AE70" s="44" t="s">
        <v>49</v>
      </c>
      <c r="AF70" s="120" t="s">
        <v>49</v>
      </c>
      <c r="AG70" s="143"/>
      <c r="AH70" s="117"/>
      <c r="AI70" s="210"/>
      <c r="AJ70" s="149"/>
      <c r="AK70" s="147"/>
      <c r="AL70" s="149"/>
      <c r="AM70" s="149"/>
      <c r="AN70" s="112"/>
      <c r="AO70" s="112"/>
      <c r="AP70" s="108"/>
      <c r="AQ70" s="45">
        <v>4.6300000000000001E-2</v>
      </c>
      <c r="AR70" s="46">
        <v>9.5395000000000003</v>
      </c>
      <c r="AS70" s="46">
        <v>0.2097</v>
      </c>
      <c r="AT70" s="46">
        <v>5.5742000000000003</v>
      </c>
      <c r="AU70" s="46">
        <v>0.95850000000000002</v>
      </c>
      <c r="AV70" s="47">
        <v>123.3715</v>
      </c>
      <c r="AW70" s="46"/>
      <c r="AX70" s="46"/>
      <c r="AY70" s="48" t="s">
        <v>67</v>
      </c>
    </row>
    <row r="71" spans="1:51" customFormat="1" ht="14.25" customHeight="1" x14ac:dyDescent="0.45">
      <c r="A71" s="26">
        <f t="shared" ref="A71:I71" si="74">A70</f>
        <v>2024</v>
      </c>
      <c r="B71" s="27">
        <f t="shared" si="74"/>
        <v>11</v>
      </c>
      <c r="C71" s="27">
        <f t="shared" si="74"/>
        <v>29</v>
      </c>
      <c r="D71" s="28">
        <f t="shared" si="74"/>
        <v>0.59583333333333333</v>
      </c>
      <c r="E71" s="29">
        <f t="shared" si="74"/>
        <v>35</v>
      </c>
      <c r="F71" s="49">
        <f t="shared" si="74"/>
        <v>13.36463</v>
      </c>
      <c r="G71" s="31">
        <f t="shared" si="74"/>
        <v>100.53230000000001</v>
      </c>
      <c r="H71" s="32">
        <f t="shared" si="74"/>
        <v>10</v>
      </c>
      <c r="I71" s="27">
        <f t="shared" si="74"/>
        <v>3</v>
      </c>
      <c r="J71" s="33" t="s">
        <v>51</v>
      </c>
      <c r="K71" s="32">
        <v>5</v>
      </c>
      <c r="L71" s="34"/>
      <c r="M71" s="35"/>
      <c r="N71" s="50">
        <f t="shared" ref="N71:N72" si="75">N70</f>
        <v>0.8</v>
      </c>
      <c r="O71" s="37">
        <v>28.5</v>
      </c>
      <c r="P71" s="38">
        <v>29.093</v>
      </c>
      <c r="Q71" s="51">
        <v>29.11</v>
      </c>
      <c r="R71" s="38">
        <v>8.08</v>
      </c>
      <c r="S71" s="38">
        <v>8.15</v>
      </c>
      <c r="T71" s="37">
        <v>28.8</v>
      </c>
      <c r="U71" s="38">
        <v>31.782</v>
      </c>
      <c r="V71" s="52">
        <v>31.74</v>
      </c>
      <c r="W71" s="38">
        <v>6.36</v>
      </c>
      <c r="X71" s="38">
        <v>6.6369999999999996</v>
      </c>
      <c r="Y71" s="38">
        <v>6.21</v>
      </c>
      <c r="Z71" s="38">
        <f t="shared" si="66"/>
        <v>6.1720283217898064</v>
      </c>
      <c r="AA71" s="41">
        <v>18.13</v>
      </c>
      <c r="AB71" s="53"/>
      <c r="AC71" s="42">
        <v>7.9</v>
      </c>
      <c r="AD71" s="43">
        <v>1.97</v>
      </c>
      <c r="AF71" s="115"/>
      <c r="AG71" s="143"/>
      <c r="AH71" s="117"/>
      <c r="AI71" s="210"/>
      <c r="AJ71" s="149"/>
      <c r="AK71" s="147"/>
      <c r="AL71" s="149"/>
      <c r="AM71" s="149"/>
      <c r="AN71" s="112"/>
      <c r="AO71" s="112"/>
      <c r="AP71" s="108"/>
      <c r="AQ71" s="45">
        <v>0.626</v>
      </c>
      <c r="AR71" s="46">
        <v>8.3125999999999998</v>
      </c>
      <c r="AS71" s="46">
        <v>0.2097</v>
      </c>
      <c r="AT71" s="46">
        <v>6.5182000000000002</v>
      </c>
      <c r="AU71" s="46">
        <v>1.0484</v>
      </c>
      <c r="AV71" s="47">
        <v>140.0324</v>
      </c>
      <c r="AW71" s="46"/>
      <c r="AX71" s="46"/>
      <c r="AY71" s="48"/>
    </row>
    <row r="72" spans="1:51" customFormat="1" ht="14.25" customHeight="1" x14ac:dyDescent="0.45">
      <c r="A72" s="26">
        <f t="shared" ref="A72:I72" si="76">A71</f>
        <v>2024</v>
      </c>
      <c r="B72" s="27">
        <f t="shared" si="76"/>
        <v>11</v>
      </c>
      <c r="C72" s="27">
        <f t="shared" si="76"/>
        <v>29</v>
      </c>
      <c r="D72" s="28">
        <f t="shared" si="76"/>
        <v>0.59583333333333333</v>
      </c>
      <c r="E72" s="29">
        <f t="shared" si="76"/>
        <v>35</v>
      </c>
      <c r="F72" s="49">
        <f t="shared" si="76"/>
        <v>13.36463</v>
      </c>
      <c r="G72" s="31">
        <f t="shared" si="76"/>
        <v>100.53230000000001</v>
      </c>
      <c r="H72" s="32">
        <f t="shared" si="76"/>
        <v>10</v>
      </c>
      <c r="I72" s="27">
        <f t="shared" si="76"/>
        <v>3</v>
      </c>
      <c r="J72" s="33" t="s">
        <v>52</v>
      </c>
      <c r="K72" s="32">
        <v>9</v>
      </c>
      <c r="L72" s="34"/>
      <c r="M72" s="35"/>
      <c r="N72" s="50">
        <f t="shared" si="75"/>
        <v>0.8</v>
      </c>
      <c r="O72" s="37">
        <v>28.2</v>
      </c>
      <c r="P72" s="38">
        <v>29.056999999999999</v>
      </c>
      <c r="Q72" s="51">
        <v>29.07</v>
      </c>
      <c r="R72" s="38">
        <v>7.98</v>
      </c>
      <c r="S72" s="38">
        <v>8.15</v>
      </c>
      <c r="T72" s="37">
        <v>28.7</v>
      </c>
      <c r="U72" s="38">
        <v>31.821999999999999</v>
      </c>
      <c r="V72" s="52">
        <v>31.74</v>
      </c>
      <c r="W72" s="38">
        <v>6.17</v>
      </c>
      <c r="X72" s="38">
        <v>6.609</v>
      </c>
      <c r="Y72" s="38">
        <v>6.18</v>
      </c>
      <c r="Z72" s="38">
        <f t="shared" si="66"/>
        <v>6.148438470905913</v>
      </c>
      <c r="AA72" s="41">
        <v>12.64</v>
      </c>
      <c r="AB72" s="53"/>
      <c r="AC72" s="42">
        <v>0.88</v>
      </c>
      <c r="AD72" s="43">
        <v>2.1800000000000002</v>
      </c>
      <c r="AF72" s="115"/>
      <c r="AG72" s="143"/>
      <c r="AH72" s="117"/>
      <c r="AI72" s="210"/>
      <c r="AJ72" s="149"/>
      <c r="AK72" s="147"/>
      <c r="AL72" s="149"/>
      <c r="AM72" s="149"/>
      <c r="AN72" s="112"/>
      <c r="AO72" s="112"/>
      <c r="AP72" s="108"/>
      <c r="AQ72" s="45">
        <v>4.6300000000000001E-2</v>
      </c>
      <c r="AR72" s="46">
        <v>9.2766000000000002</v>
      </c>
      <c r="AS72" s="46">
        <v>0.25540000000000002</v>
      </c>
      <c r="AT72" s="46">
        <v>5.9337999999999997</v>
      </c>
      <c r="AU72" s="46">
        <v>0.98019999999999996</v>
      </c>
      <c r="AV72" s="47">
        <v>97.5822</v>
      </c>
      <c r="AW72" s="46"/>
      <c r="AX72" s="46"/>
      <c r="AY72" s="48"/>
    </row>
    <row r="73" spans="1:51" customFormat="1" ht="14.25" customHeight="1" x14ac:dyDescent="0.45">
      <c r="A73" s="26">
        <v>2024</v>
      </c>
      <c r="B73" s="27">
        <v>11</v>
      </c>
      <c r="C73" s="27">
        <v>29</v>
      </c>
      <c r="D73" s="28">
        <v>0.64930555555555558</v>
      </c>
      <c r="E73" s="29" t="s">
        <v>68</v>
      </c>
      <c r="F73" s="30">
        <v>13.414440000000001</v>
      </c>
      <c r="G73" s="31">
        <v>100.49052</v>
      </c>
      <c r="H73" s="32">
        <v>8.6999999999999993</v>
      </c>
      <c r="I73" s="27">
        <v>3</v>
      </c>
      <c r="J73" s="33" t="s">
        <v>47</v>
      </c>
      <c r="K73" s="32">
        <v>1</v>
      </c>
      <c r="L73" s="34">
        <v>6</v>
      </c>
      <c r="M73" s="35" t="s">
        <v>48</v>
      </c>
      <c r="N73" s="36">
        <v>0.7</v>
      </c>
      <c r="O73" s="37">
        <v>27.9</v>
      </c>
      <c r="P73" s="38">
        <v>28.794</v>
      </c>
      <c r="Q73" s="51">
        <v>28.81</v>
      </c>
      <c r="R73" s="38">
        <v>8.1</v>
      </c>
      <c r="S73" s="38">
        <v>8.08</v>
      </c>
      <c r="T73" s="37">
        <v>28.4</v>
      </c>
      <c r="U73" s="38">
        <v>31.129000000000001</v>
      </c>
      <c r="V73" s="52">
        <v>31.1</v>
      </c>
      <c r="W73" s="38"/>
      <c r="X73" s="38">
        <v>6.6779999999999999</v>
      </c>
      <c r="Y73" s="38">
        <v>5.99</v>
      </c>
      <c r="Z73" s="38">
        <f t="shared" si="66"/>
        <v>5.9990360819745909</v>
      </c>
      <c r="AA73" s="41"/>
      <c r="AB73" s="53"/>
      <c r="AC73" s="42">
        <v>1.1499999999999999</v>
      </c>
      <c r="AD73" s="43">
        <v>2.44</v>
      </c>
      <c r="AE73" s="44"/>
      <c r="AF73" s="120"/>
      <c r="AG73" s="143"/>
      <c r="AH73" s="117"/>
      <c r="AI73" s="210"/>
      <c r="AJ73" s="149"/>
      <c r="AK73" s="147"/>
      <c r="AL73" s="149"/>
      <c r="AM73" s="149"/>
      <c r="AN73" s="112"/>
      <c r="AO73" s="112"/>
      <c r="AP73" s="108"/>
      <c r="AQ73" s="45"/>
      <c r="AR73" s="46"/>
      <c r="AS73" s="46"/>
      <c r="AT73" s="46"/>
      <c r="AU73" s="46"/>
      <c r="AV73" s="47"/>
      <c r="AW73" s="46"/>
      <c r="AX73" s="46"/>
      <c r="AY73" s="48" t="s">
        <v>53</v>
      </c>
    </row>
    <row r="74" spans="1:51" customFormat="1" ht="14.25" customHeight="1" x14ac:dyDescent="0.45">
      <c r="A74" s="26">
        <f t="shared" ref="A74:I74" si="77">A73</f>
        <v>2024</v>
      </c>
      <c r="B74" s="27">
        <f t="shared" si="77"/>
        <v>11</v>
      </c>
      <c r="C74" s="27">
        <f t="shared" si="77"/>
        <v>29</v>
      </c>
      <c r="D74" s="28">
        <f t="shared" si="77"/>
        <v>0.64930555555555558</v>
      </c>
      <c r="E74" s="29" t="str">
        <f t="shared" si="77"/>
        <v>C28</v>
      </c>
      <c r="F74" s="49">
        <f t="shared" si="77"/>
        <v>13.414440000000001</v>
      </c>
      <c r="G74" s="31">
        <f t="shared" si="77"/>
        <v>100.49052</v>
      </c>
      <c r="H74" s="32">
        <f t="shared" si="77"/>
        <v>8.6999999999999993</v>
      </c>
      <c r="I74" s="27">
        <f t="shared" si="77"/>
        <v>3</v>
      </c>
      <c r="J74" s="33" t="s">
        <v>51</v>
      </c>
      <c r="K74" s="32">
        <v>4</v>
      </c>
      <c r="L74" s="34"/>
      <c r="M74" s="35"/>
      <c r="N74" s="50">
        <f t="shared" ref="N74:N75" si="78">N73</f>
        <v>0.7</v>
      </c>
      <c r="O74" s="37">
        <v>28</v>
      </c>
      <c r="P74" s="38">
        <v>28.794</v>
      </c>
      <c r="Q74" s="51">
        <v>28.79</v>
      </c>
      <c r="R74" s="38">
        <v>8.08</v>
      </c>
      <c r="S74" s="38">
        <v>8.1199999999999992</v>
      </c>
      <c r="T74" s="37">
        <v>28.5</v>
      </c>
      <c r="U74" s="38">
        <v>31.100999999999999</v>
      </c>
      <c r="V74" s="52">
        <v>31.1</v>
      </c>
      <c r="W74" s="38"/>
      <c r="X74" s="38">
        <v>6.4379999999999997</v>
      </c>
      <c r="Y74" s="38">
        <v>5.96</v>
      </c>
      <c r="Z74" s="38">
        <f t="shared" si="66"/>
        <v>5.9754462310906975</v>
      </c>
      <c r="AA74" s="41"/>
      <c r="AB74" s="53"/>
      <c r="AC74" s="42">
        <v>0.9</v>
      </c>
      <c r="AD74" s="43">
        <v>2.2999999999999998</v>
      </c>
      <c r="AF74" s="115"/>
      <c r="AG74" s="143"/>
      <c r="AH74" s="117"/>
      <c r="AI74" s="210"/>
      <c r="AJ74" s="149"/>
      <c r="AK74" s="147"/>
      <c r="AL74" s="149"/>
      <c r="AM74" s="149"/>
      <c r="AN74" s="112"/>
      <c r="AO74" s="112"/>
      <c r="AP74" s="108"/>
      <c r="AQ74" s="45"/>
      <c r="AR74" s="46"/>
      <c r="AS74" s="46"/>
      <c r="AT74" s="46"/>
      <c r="AU74" s="46"/>
      <c r="AV74" s="47"/>
      <c r="AW74" s="46"/>
      <c r="AX74" s="46"/>
      <c r="AY74" s="48"/>
    </row>
    <row r="75" spans="1:51" customFormat="1" ht="14.25" customHeight="1" x14ac:dyDescent="0.45">
      <c r="A75" s="26">
        <f t="shared" ref="A75:I75" si="79">A74</f>
        <v>2024</v>
      </c>
      <c r="B75" s="27">
        <f t="shared" si="79"/>
        <v>11</v>
      </c>
      <c r="C75" s="27">
        <f t="shared" si="79"/>
        <v>29</v>
      </c>
      <c r="D75" s="28">
        <f t="shared" si="79"/>
        <v>0.64930555555555558</v>
      </c>
      <c r="E75" s="29" t="str">
        <f t="shared" si="79"/>
        <v>C28</v>
      </c>
      <c r="F75" s="49">
        <f t="shared" si="79"/>
        <v>13.414440000000001</v>
      </c>
      <c r="G75" s="31">
        <f t="shared" si="79"/>
        <v>100.49052</v>
      </c>
      <c r="H75" s="32">
        <f t="shared" si="79"/>
        <v>8.6999999999999993</v>
      </c>
      <c r="I75" s="27">
        <f t="shared" si="79"/>
        <v>3</v>
      </c>
      <c r="J75" s="33" t="s">
        <v>52</v>
      </c>
      <c r="K75" s="32">
        <v>7</v>
      </c>
      <c r="L75" s="34"/>
      <c r="M75" s="35"/>
      <c r="N75" s="50">
        <f t="shared" si="78"/>
        <v>0.7</v>
      </c>
      <c r="O75" s="37">
        <v>28.3</v>
      </c>
      <c r="P75" s="38">
        <v>28.742000000000001</v>
      </c>
      <c r="Q75" s="51">
        <v>28.74</v>
      </c>
      <c r="R75" s="38">
        <v>7.98</v>
      </c>
      <c r="S75" s="38">
        <v>8.1300000000000008</v>
      </c>
      <c r="T75" s="37">
        <v>28.5</v>
      </c>
      <c r="U75" s="38">
        <v>31.164000000000001</v>
      </c>
      <c r="V75" s="52">
        <v>31.13</v>
      </c>
      <c r="W75" s="38"/>
      <c r="X75" s="38">
        <v>6.3550000000000004</v>
      </c>
      <c r="Y75" s="38">
        <v>5.84</v>
      </c>
      <c r="Z75" s="38">
        <f t="shared" si="66"/>
        <v>5.8810868275551247</v>
      </c>
      <c r="AA75" s="41"/>
      <c r="AB75" s="53"/>
      <c r="AC75" s="42">
        <v>0.98</v>
      </c>
      <c r="AD75" s="43">
        <v>2.66</v>
      </c>
      <c r="AF75" s="115"/>
      <c r="AG75" s="143"/>
      <c r="AH75" s="117"/>
      <c r="AI75" s="210"/>
      <c r="AJ75" s="149"/>
      <c r="AK75" s="147"/>
      <c r="AL75" s="149"/>
      <c r="AM75" s="149"/>
      <c r="AN75" s="112"/>
      <c r="AO75" s="112"/>
      <c r="AP75" s="108"/>
      <c r="AQ75" s="45"/>
      <c r="AR75" s="46"/>
      <c r="AS75" s="46"/>
      <c r="AT75" s="46"/>
      <c r="AU75" s="46"/>
      <c r="AV75" s="47"/>
      <c r="AW75" s="46"/>
      <c r="AX75" s="46"/>
      <c r="AY75" s="48"/>
    </row>
    <row r="76" spans="1:51" customFormat="1" ht="14.25" customHeight="1" x14ac:dyDescent="0.45">
      <c r="A76" s="26">
        <v>2024</v>
      </c>
      <c r="B76" s="27">
        <v>11</v>
      </c>
      <c r="C76" s="27">
        <v>29</v>
      </c>
      <c r="D76" s="28">
        <v>0.66319444444444442</v>
      </c>
      <c r="E76" s="29" t="s">
        <v>69</v>
      </c>
      <c r="F76" s="30">
        <v>13.41353</v>
      </c>
      <c r="G76" s="31">
        <v>100.43938</v>
      </c>
      <c r="H76" s="32">
        <v>8.5</v>
      </c>
      <c r="I76" s="27">
        <v>3</v>
      </c>
      <c r="J76" s="33" t="s">
        <v>47</v>
      </c>
      <c r="K76" s="32">
        <v>1</v>
      </c>
      <c r="L76" s="34">
        <v>6</v>
      </c>
      <c r="M76" s="35" t="s">
        <v>48</v>
      </c>
      <c r="N76" s="36">
        <v>1</v>
      </c>
      <c r="O76" s="37">
        <v>28.3</v>
      </c>
      <c r="P76" s="38">
        <v>28.856000000000002</v>
      </c>
      <c r="Q76" s="51">
        <v>28.86</v>
      </c>
      <c r="R76" s="38">
        <v>7.93</v>
      </c>
      <c r="S76" s="38">
        <v>7.96</v>
      </c>
      <c r="T76" s="37">
        <v>27.3</v>
      </c>
      <c r="U76" s="38">
        <v>29.942</v>
      </c>
      <c r="V76" s="52">
        <v>29.94</v>
      </c>
      <c r="W76" s="38"/>
      <c r="X76" s="38">
        <v>6.77</v>
      </c>
      <c r="Y76" s="38">
        <v>6.15</v>
      </c>
      <c r="Z76" s="38">
        <f t="shared" si="66"/>
        <v>6.1248486200220205</v>
      </c>
      <c r="AA76" s="41"/>
      <c r="AB76" s="53"/>
      <c r="AC76" s="42">
        <v>2.2999999999999998</v>
      </c>
      <c r="AD76" s="43">
        <v>2.68</v>
      </c>
      <c r="AE76" s="44"/>
      <c r="AF76" s="120"/>
      <c r="AG76" s="143"/>
      <c r="AH76" s="117"/>
      <c r="AI76" s="210"/>
      <c r="AJ76" s="149"/>
      <c r="AK76" s="147"/>
      <c r="AL76" s="149"/>
      <c r="AM76" s="149"/>
      <c r="AN76" s="112"/>
      <c r="AO76" s="112"/>
      <c r="AP76" s="108"/>
      <c r="AQ76" s="45"/>
      <c r="AR76" s="46"/>
      <c r="AS76" s="46"/>
      <c r="AT76" s="46"/>
      <c r="AU76" s="46"/>
      <c r="AV76" s="47"/>
      <c r="AW76" s="46"/>
      <c r="AX76" s="46"/>
      <c r="AY76" s="48" t="s">
        <v>53</v>
      </c>
    </row>
    <row r="77" spans="1:51" customFormat="1" ht="14.25" customHeight="1" x14ac:dyDescent="0.45">
      <c r="A77" s="26">
        <f t="shared" ref="A77:I77" si="80">A76</f>
        <v>2024</v>
      </c>
      <c r="B77" s="27">
        <f t="shared" si="80"/>
        <v>11</v>
      </c>
      <c r="C77" s="27">
        <f t="shared" si="80"/>
        <v>29</v>
      </c>
      <c r="D77" s="28">
        <f t="shared" si="80"/>
        <v>0.66319444444444442</v>
      </c>
      <c r="E77" s="29" t="str">
        <f t="shared" si="80"/>
        <v>C25</v>
      </c>
      <c r="F77" s="49">
        <f t="shared" si="80"/>
        <v>13.41353</v>
      </c>
      <c r="G77" s="31">
        <f t="shared" si="80"/>
        <v>100.43938</v>
      </c>
      <c r="H77" s="32">
        <f t="shared" si="80"/>
        <v>8.5</v>
      </c>
      <c r="I77" s="27">
        <f t="shared" si="80"/>
        <v>3</v>
      </c>
      <c r="J77" s="33" t="s">
        <v>51</v>
      </c>
      <c r="K77" s="32">
        <v>4</v>
      </c>
      <c r="L77" s="34"/>
      <c r="M77" s="35"/>
      <c r="N77" s="50">
        <f t="shared" ref="N77:N78" si="81">N76</f>
        <v>1</v>
      </c>
      <c r="O77" s="37">
        <v>28.2</v>
      </c>
      <c r="P77" s="38">
        <v>28.766999999999999</v>
      </c>
      <c r="Q77" s="51">
        <v>28.75</v>
      </c>
      <c r="R77" s="38">
        <v>7.97</v>
      </c>
      <c r="S77" s="38">
        <v>8</v>
      </c>
      <c r="T77" s="37">
        <v>27.5</v>
      </c>
      <c r="U77" s="38">
        <v>30.4</v>
      </c>
      <c r="V77" s="52">
        <v>30.45</v>
      </c>
      <c r="W77" s="38"/>
      <c r="X77" s="38">
        <v>6.49</v>
      </c>
      <c r="Y77" s="38">
        <v>5.94</v>
      </c>
      <c r="Z77" s="38">
        <f t="shared" si="66"/>
        <v>5.9597196638347691</v>
      </c>
      <c r="AA77" s="41"/>
      <c r="AB77" s="53"/>
      <c r="AC77" s="42">
        <v>1.6</v>
      </c>
      <c r="AD77" s="43">
        <v>2.52</v>
      </c>
      <c r="AF77" s="115"/>
      <c r="AG77" s="143"/>
      <c r="AH77" s="117"/>
      <c r="AI77" s="210"/>
      <c r="AJ77" s="149"/>
      <c r="AK77" s="147"/>
      <c r="AL77" s="149"/>
      <c r="AM77" s="149"/>
      <c r="AN77" s="112"/>
      <c r="AO77" s="112"/>
      <c r="AP77" s="108"/>
      <c r="AQ77" s="45"/>
      <c r="AR77" s="46"/>
      <c r="AS77" s="46"/>
      <c r="AT77" s="46"/>
      <c r="AU77" s="46"/>
      <c r="AV77" s="47"/>
      <c r="AW77" s="46"/>
      <c r="AX77" s="46"/>
      <c r="AY77" s="48"/>
    </row>
    <row r="78" spans="1:51" customFormat="1" ht="14.25" customHeight="1" x14ac:dyDescent="0.45">
      <c r="A78" s="26">
        <f t="shared" ref="A78:I78" si="82">A77</f>
        <v>2024</v>
      </c>
      <c r="B78" s="27">
        <f t="shared" si="82"/>
        <v>11</v>
      </c>
      <c r="C78" s="27">
        <f t="shared" si="82"/>
        <v>29</v>
      </c>
      <c r="D78" s="28">
        <f t="shared" si="82"/>
        <v>0.66319444444444442</v>
      </c>
      <c r="E78" s="29" t="str">
        <f t="shared" si="82"/>
        <v>C25</v>
      </c>
      <c r="F78" s="49">
        <f t="shared" si="82"/>
        <v>13.41353</v>
      </c>
      <c r="G78" s="31">
        <f t="shared" si="82"/>
        <v>100.43938</v>
      </c>
      <c r="H78" s="32">
        <f t="shared" si="82"/>
        <v>8.5</v>
      </c>
      <c r="I78" s="27">
        <f t="shared" si="82"/>
        <v>3</v>
      </c>
      <c r="J78" s="33" t="s">
        <v>52</v>
      </c>
      <c r="K78" s="32">
        <v>7</v>
      </c>
      <c r="L78" s="34"/>
      <c r="M78" s="35"/>
      <c r="N78" s="50">
        <f t="shared" si="81"/>
        <v>1</v>
      </c>
      <c r="O78" s="37">
        <v>28.2</v>
      </c>
      <c r="P78" s="38">
        <v>28.797000000000001</v>
      </c>
      <c r="Q78" s="51">
        <v>28.8</v>
      </c>
      <c r="R78" s="38">
        <v>8.0299999999999994</v>
      </c>
      <c r="S78" s="38">
        <v>8.1</v>
      </c>
      <c r="T78" s="37">
        <v>27.9</v>
      </c>
      <c r="U78" s="38">
        <v>31.131</v>
      </c>
      <c r="V78" s="52">
        <v>31.07</v>
      </c>
      <c r="W78" s="38"/>
      <c r="X78" s="38">
        <v>6.5049999999999999</v>
      </c>
      <c r="Y78" s="38">
        <v>5.99</v>
      </c>
      <c r="Z78" s="38">
        <f t="shared" si="66"/>
        <v>5.9990360819745909</v>
      </c>
      <c r="AA78" s="41"/>
      <c r="AB78" s="53"/>
      <c r="AC78" s="42">
        <v>1.1499999999999999</v>
      </c>
      <c r="AD78" s="43">
        <v>2.13</v>
      </c>
      <c r="AF78" s="115"/>
      <c r="AG78" s="143"/>
      <c r="AH78" s="117"/>
      <c r="AI78" s="210"/>
      <c r="AJ78" s="149"/>
      <c r="AK78" s="147"/>
      <c r="AL78" s="149"/>
      <c r="AM78" s="149"/>
      <c r="AN78" s="112"/>
      <c r="AO78" s="112"/>
      <c r="AP78" s="108"/>
      <c r="AQ78" s="45"/>
      <c r="AR78" s="46"/>
      <c r="AS78" s="46"/>
      <c r="AT78" s="46"/>
      <c r="AU78" s="46"/>
      <c r="AV78" s="47"/>
      <c r="AW78" s="46"/>
      <c r="AX78" s="46"/>
      <c r="AY78" s="48"/>
    </row>
    <row r="79" spans="1:51" customFormat="1" ht="14.25" customHeight="1" x14ac:dyDescent="0.45">
      <c r="A79" s="26">
        <v>2024</v>
      </c>
      <c r="B79" s="27">
        <v>11</v>
      </c>
      <c r="C79" s="27">
        <v>29</v>
      </c>
      <c r="D79" s="28">
        <v>0.69444444444444442</v>
      </c>
      <c r="E79" s="29">
        <v>23</v>
      </c>
      <c r="F79" s="30">
        <v>13.387119999999999</v>
      </c>
      <c r="G79" s="31">
        <v>100.35968</v>
      </c>
      <c r="H79" s="32">
        <v>9</v>
      </c>
      <c r="I79" s="27">
        <v>3</v>
      </c>
      <c r="J79" s="33" t="s">
        <v>47</v>
      </c>
      <c r="K79" s="32">
        <v>1</v>
      </c>
      <c r="L79" s="34">
        <v>6</v>
      </c>
      <c r="M79" s="35" t="s">
        <v>48</v>
      </c>
      <c r="N79" s="36">
        <v>1</v>
      </c>
      <c r="O79" s="37">
        <v>28.3</v>
      </c>
      <c r="P79" s="38">
        <v>29.030999999999999</v>
      </c>
      <c r="Q79" s="51">
        <v>29.04</v>
      </c>
      <c r="R79" s="38">
        <v>7.87</v>
      </c>
      <c r="S79" s="38">
        <v>7.93</v>
      </c>
      <c r="T79" s="37">
        <v>26.7</v>
      </c>
      <c r="U79" s="38">
        <v>29.355</v>
      </c>
      <c r="V79" s="52">
        <v>29.35</v>
      </c>
      <c r="X79" s="38">
        <v>6.9569999999999999</v>
      </c>
      <c r="Y79" s="38">
        <v>6.38</v>
      </c>
      <c r="Z79" s="38">
        <f t="shared" si="66"/>
        <v>6.3057041434652001</v>
      </c>
      <c r="AA79" s="41"/>
      <c r="AB79" s="53"/>
      <c r="AC79" s="42">
        <v>6.23</v>
      </c>
      <c r="AD79" s="43">
        <v>7.55</v>
      </c>
      <c r="AE79" s="44"/>
      <c r="AF79" s="120"/>
      <c r="AG79" s="143"/>
      <c r="AH79" s="117"/>
      <c r="AI79" s="210"/>
      <c r="AJ79" s="149"/>
      <c r="AK79" s="147"/>
      <c r="AL79" s="149"/>
      <c r="AM79" s="149"/>
      <c r="AN79" s="112"/>
      <c r="AO79" s="112"/>
      <c r="AP79" s="108"/>
      <c r="AQ79" s="45"/>
      <c r="AR79" s="46"/>
      <c r="AS79" s="46"/>
      <c r="AT79" s="46"/>
      <c r="AU79" s="46"/>
      <c r="AV79" s="47"/>
      <c r="AW79" s="46"/>
      <c r="AX79" s="46"/>
      <c r="AY79" s="48" t="s">
        <v>70</v>
      </c>
    </row>
    <row r="80" spans="1:51" customFormat="1" ht="14.25" customHeight="1" x14ac:dyDescent="0.45">
      <c r="A80" s="26">
        <f t="shared" ref="A80:I80" si="83">A79</f>
        <v>2024</v>
      </c>
      <c r="B80" s="27">
        <f t="shared" si="83"/>
        <v>11</v>
      </c>
      <c r="C80" s="27">
        <f t="shared" si="83"/>
        <v>29</v>
      </c>
      <c r="D80" s="28">
        <f t="shared" si="83"/>
        <v>0.69444444444444442</v>
      </c>
      <c r="E80" s="29">
        <f t="shared" si="83"/>
        <v>23</v>
      </c>
      <c r="F80" s="49">
        <f t="shared" si="83"/>
        <v>13.387119999999999</v>
      </c>
      <c r="G80" s="31">
        <f t="shared" si="83"/>
        <v>100.35968</v>
      </c>
      <c r="H80" s="32">
        <f t="shared" si="83"/>
        <v>9</v>
      </c>
      <c r="I80" s="27">
        <f t="shared" si="83"/>
        <v>3</v>
      </c>
      <c r="J80" s="33" t="s">
        <v>51</v>
      </c>
      <c r="K80" s="32">
        <v>4.5</v>
      </c>
      <c r="L80" s="34"/>
      <c r="M80" s="35"/>
      <c r="N80" s="50">
        <f t="shared" ref="N80:N81" si="84">N79</f>
        <v>1</v>
      </c>
      <c r="O80" s="37">
        <v>28.5</v>
      </c>
      <c r="P80" s="38">
        <v>28.878</v>
      </c>
      <c r="Q80" s="51">
        <v>28.88</v>
      </c>
      <c r="R80" s="38">
        <v>7.91</v>
      </c>
      <c r="S80" s="38">
        <v>7.86</v>
      </c>
      <c r="T80" s="37">
        <v>26.9</v>
      </c>
      <c r="U80" s="38">
        <v>29.666</v>
      </c>
      <c r="V80" s="52">
        <v>29.79</v>
      </c>
      <c r="W80" s="38"/>
      <c r="X80" s="38">
        <v>5.2350000000000003</v>
      </c>
      <c r="Y80" s="38">
        <v>4.53</v>
      </c>
      <c r="Z80" s="38">
        <f t="shared" si="66"/>
        <v>4.8509966722917941</v>
      </c>
      <c r="AA80" s="41"/>
      <c r="AB80" s="53"/>
      <c r="AC80" s="42">
        <v>2.15</v>
      </c>
      <c r="AD80" s="43">
        <v>4.9000000000000004</v>
      </c>
      <c r="AF80" s="115"/>
      <c r="AG80" s="143"/>
      <c r="AH80" s="117"/>
      <c r="AI80" s="210"/>
      <c r="AJ80" s="149"/>
      <c r="AK80" s="147"/>
      <c r="AL80" s="149"/>
      <c r="AM80" s="149"/>
      <c r="AN80" s="112"/>
      <c r="AO80" s="112"/>
      <c r="AP80" s="108"/>
      <c r="AQ80" s="45"/>
      <c r="AR80" s="46"/>
      <c r="AS80" s="46"/>
      <c r="AT80" s="46"/>
      <c r="AU80" s="46"/>
      <c r="AV80" s="47"/>
      <c r="AW80" s="46"/>
      <c r="AX80" s="46"/>
      <c r="AY80" s="48"/>
    </row>
    <row r="81" spans="1:51" customFormat="1" ht="14.25" customHeight="1" x14ac:dyDescent="0.45">
      <c r="A81" s="26">
        <f t="shared" ref="A81:I81" si="85">A80</f>
        <v>2024</v>
      </c>
      <c r="B81" s="27">
        <f t="shared" si="85"/>
        <v>11</v>
      </c>
      <c r="C81" s="27">
        <f t="shared" si="85"/>
        <v>29</v>
      </c>
      <c r="D81" s="28">
        <f t="shared" si="85"/>
        <v>0.69444444444444442</v>
      </c>
      <c r="E81" s="29">
        <f t="shared" si="85"/>
        <v>23</v>
      </c>
      <c r="F81" s="49">
        <f t="shared" si="85"/>
        <v>13.387119999999999</v>
      </c>
      <c r="G81" s="31">
        <f t="shared" si="85"/>
        <v>100.35968</v>
      </c>
      <c r="H81" s="32">
        <f t="shared" si="85"/>
        <v>9</v>
      </c>
      <c r="I81" s="27">
        <f t="shared" si="85"/>
        <v>3</v>
      </c>
      <c r="J81" s="33" t="s">
        <v>52</v>
      </c>
      <c r="K81" s="32">
        <v>8</v>
      </c>
      <c r="L81" s="34"/>
      <c r="M81" s="35"/>
      <c r="N81" s="50">
        <f t="shared" si="84"/>
        <v>1</v>
      </c>
      <c r="O81" s="37">
        <v>28.4</v>
      </c>
      <c r="P81" s="38">
        <v>28.92</v>
      </c>
      <c r="Q81" s="51">
        <v>28.9</v>
      </c>
      <c r="R81" s="38">
        <v>7.89</v>
      </c>
      <c r="S81" s="38">
        <v>7.89</v>
      </c>
      <c r="T81" s="37">
        <v>27.7</v>
      </c>
      <c r="U81" s="38">
        <v>30.341999999999999</v>
      </c>
      <c r="V81" s="52">
        <v>30.16</v>
      </c>
      <c r="W81" s="57"/>
      <c r="X81" s="57">
        <v>5.0330000000000004</v>
      </c>
      <c r="Y81" s="38">
        <v>4.66</v>
      </c>
      <c r="Z81" s="38">
        <f t="shared" si="66"/>
        <v>4.9532193594553311</v>
      </c>
      <c r="AA81" s="58"/>
      <c r="AB81" s="53"/>
      <c r="AC81" s="42">
        <v>1.52</v>
      </c>
      <c r="AD81" s="43">
        <v>3.87</v>
      </c>
      <c r="AF81" s="115"/>
      <c r="AG81" s="143"/>
      <c r="AH81" s="117"/>
      <c r="AI81" s="210"/>
      <c r="AJ81" s="149"/>
      <c r="AK81" s="147"/>
      <c r="AL81" s="149"/>
      <c r="AM81" s="149"/>
      <c r="AN81" s="112"/>
      <c r="AO81" s="112"/>
      <c r="AP81" s="108"/>
      <c r="AQ81" s="45"/>
      <c r="AR81" s="46"/>
      <c r="AS81" s="46"/>
      <c r="AT81" s="46"/>
      <c r="AU81" s="46"/>
      <c r="AV81" s="47"/>
      <c r="AW81" s="46"/>
      <c r="AX81" s="46"/>
      <c r="AY81" s="48"/>
    </row>
    <row r="82" spans="1:51" customFormat="1" ht="14.25" customHeight="1" x14ac:dyDescent="0.45">
      <c r="A82" s="26">
        <v>2024</v>
      </c>
      <c r="B82" s="27">
        <v>11</v>
      </c>
      <c r="C82" s="27">
        <v>29</v>
      </c>
      <c r="D82" s="28">
        <v>0.71458333333333335</v>
      </c>
      <c r="E82" s="29">
        <v>20</v>
      </c>
      <c r="F82" s="30">
        <v>13.40807</v>
      </c>
      <c r="G82" s="31">
        <v>100.31579000000001</v>
      </c>
      <c r="H82" s="32">
        <v>7.3</v>
      </c>
      <c r="I82" s="27">
        <v>3</v>
      </c>
      <c r="J82" s="33" t="s">
        <v>47</v>
      </c>
      <c r="K82" s="32">
        <v>1</v>
      </c>
      <c r="L82" s="34">
        <v>7</v>
      </c>
      <c r="M82" s="35" t="s">
        <v>71</v>
      </c>
      <c r="N82" s="36">
        <v>1</v>
      </c>
      <c r="O82" s="37">
        <v>28</v>
      </c>
      <c r="P82" s="38">
        <v>29.58</v>
      </c>
      <c r="Q82" s="51">
        <v>29.59</v>
      </c>
      <c r="R82" s="38">
        <v>8.5299999999999994</v>
      </c>
      <c r="S82" s="38">
        <v>8.67</v>
      </c>
      <c r="T82" s="37">
        <v>23.6</v>
      </c>
      <c r="U82" s="38">
        <v>25.763000000000002</v>
      </c>
      <c r="V82" s="52">
        <v>25.54</v>
      </c>
      <c r="W82" s="38">
        <v>14.02</v>
      </c>
      <c r="X82" s="38">
        <v>16.074999999999999</v>
      </c>
      <c r="Y82" s="38">
        <v>15.5</v>
      </c>
      <c r="Z82" s="38">
        <f t="shared" si="66"/>
        <v>13.477018812168694</v>
      </c>
      <c r="AA82" s="41">
        <v>21.5</v>
      </c>
      <c r="AB82" s="53">
        <v>17.0136</v>
      </c>
      <c r="AC82" s="42">
        <v>33.61</v>
      </c>
      <c r="AD82" s="43">
        <v>41.2</v>
      </c>
      <c r="AE82" s="44" t="s">
        <v>49</v>
      </c>
      <c r="AF82" s="120" t="s">
        <v>49</v>
      </c>
      <c r="AG82" s="143"/>
      <c r="AH82" s="117"/>
      <c r="AI82" s="210"/>
      <c r="AJ82" s="149"/>
      <c r="AK82" s="147"/>
      <c r="AL82" s="149"/>
      <c r="AM82" s="149"/>
      <c r="AN82" s="112"/>
      <c r="AO82" s="112"/>
      <c r="AP82" s="108"/>
      <c r="AQ82" s="45">
        <v>1.1091</v>
      </c>
      <c r="AR82" s="46">
        <v>16.725899999999999</v>
      </c>
      <c r="AS82" s="46">
        <v>0.25540000000000002</v>
      </c>
      <c r="AT82" s="46">
        <v>3.9559000000000002</v>
      </c>
      <c r="AU82" s="46">
        <v>1.2722</v>
      </c>
      <c r="AV82" s="47">
        <v>315.87490000000003</v>
      </c>
      <c r="AW82" s="46"/>
      <c r="AX82" s="46"/>
      <c r="AY82" s="48" t="s">
        <v>72</v>
      </c>
    </row>
    <row r="83" spans="1:51" customFormat="1" ht="14.25" customHeight="1" x14ac:dyDescent="0.45">
      <c r="A83" s="26">
        <f t="shared" ref="A83:I83" si="86">A82</f>
        <v>2024</v>
      </c>
      <c r="B83" s="27">
        <f t="shared" si="86"/>
        <v>11</v>
      </c>
      <c r="C83" s="27">
        <f t="shared" si="86"/>
        <v>29</v>
      </c>
      <c r="D83" s="28">
        <f t="shared" si="86"/>
        <v>0.71458333333333335</v>
      </c>
      <c r="E83" s="29">
        <f t="shared" si="86"/>
        <v>20</v>
      </c>
      <c r="F83" s="49">
        <f t="shared" si="86"/>
        <v>13.40807</v>
      </c>
      <c r="G83" s="31">
        <f t="shared" si="86"/>
        <v>100.31579000000001</v>
      </c>
      <c r="H83" s="32">
        <f t="shared" si="86"/>
        <v>7.3</v>
      </c>
      <c r="I83" s="27">
        <f t="shared" si="86"/>
        <v>3</v>
      </c>
      <c r="J83" s="33" t="s">
        <v>51</v>
      </c>
      <c r="K83" s="32">
        <v>3.5</v>
      </c>
      <c r="L83" s="34"/>
      <c r="M83" s="35"/>
      <c r="N83" s="50">
        <f t="shared" ref="N83:N84" si="87">N82</f>
        <v>1</v>
      </c>
      <c r="O83" s="37">
        <v>28.2</v>
      </c>
      <c r="P83" s="38">
        <v>29.175000000000001</v>
      </c>
      <c r="Q83" s="51">
        <v>29.18</v>
      </c>
      <c r="R83" s="38">
        <v>8.44</v>
      </c>
      <c r="S83" s="38">
        <v>8.25</v>
      </c>
      <c r="T83" s="37">
        <v>25</v>
      </c>
      <c r="U83" s="38">
        <v>28.49</v>
      </c>
      <c r="V83" s="52">
        <v>28.51</v>
      </c>
      <c r="W83" s="38">
        <v>12.27</v>
      </c>
      <c r="X83" s="38">
        <v>10.413</v>
      </c>
      <c r="Y83" s="38">
        <v>8.8800000000000008</v>
      </c>
      <c r="Z83" s="38">
        <f t="shared" si="66"/>
        <v>8.2715250504562903</v>
      </c>
      <c r="AA83" s="41">
        <v>25.94</v>
      </c>
      <c r="AB83" s="53"/>
      <c r="AC83" s="42">
        <v>14.44</v>
      </c>
      <c r="AD83" s="43">
        <v>18.61</v>
      </c>
      <c r="AF83" s="115"/>
      <c r="AG83" s="143"/>
      <c r="AH83" s="117"/>
      <c r="AI83" s="210"/>
      <c r="AJ83" s="149"/>
      <c r="AK83" s="147"/>
      <c r="AL83" s="149"/>
      <c r="AM83" s="149"/>
      <c r="AN83" s="112"/>
      <c r="AO83" s="112"/>
      <c r="AP83" s="108"/>
      <c r="AQ83" s="45">
        <v>0.96419999999999995</v>
      </c>
      <c r="AR83" s="46">
        <v>14.6225</v>
      </c>
      <c r="AS83" s="46">
        <v>0.36980000000000002</v>
      </c>
      <c r="AT83" s="46">
        <v>5.5742000000000003</v>
      </c>
      <c r="AU83" s="46">
        <v>1.0680000000000001</v>
      </c>
      <c r="AV83" s="47">
        <v>134.333</v>
      </c>
      <c r="AW83" s="46"/>
      <c r="AX83" s="46"/>
      <c r="AY83" s="48"/>
    </row>
    <row r="84" spans="1:51" customFormat="1" ht="14.25" customHeight="1" x14ac:dyDescent="0.45">
      <c r="A84" s="26">
        <f t="shared" ref="A84:I84" si="88">A83</f>
        <v>2024</v>
      </c>
      <c r="B84" s="27">
        <f t="shared" si="88"/>
        <v>11</v>
      </c>
      <c r="C84" s="27">
        <f t="shared" si="88"/>
        <v>29</v>
      </c>
      <c r="D84" s="28">
        <f t="shared" si="88"/>
        <v>0.71458333333333335</v>
      </c>
      <c r="E84" s="29">
        <f t="shared" si="88"/>
        <v>20</v>
      </c>
      <c r="F84" s="49">
        <f t="shared" si="88"/>
        <v>13.40807</v>
      </c>
      <c r="G84" s="31">
        <f t="shared" si="88"/>
        <v>100.31579000000001</v>
      </c>
      <c r="H84" s="32">
        <f t="shared" si="88"/>
        <v>7.3</v>
      </c>
      <c r="I84" s="27">
        <f t="shared" si="88"/>
        <v>3</v>
      </c>
      <c r="J84" s="33" t="s">
        <v>52</v>
      </c>
      <c r="K84" s="32">
        <v>6</v>
      </c>
      <c r="L84" s="34"/>
      <c r="M84" s="35"/>
      <c r="N84" s="50">
        <f t="shared" si="87"/>
        <v>1</v>
      </c>
      <c r="O84" s="37">
        <v>28.1</v>
      </c>
      <c r="P84" s="38">
        <v>29.015999999999998</v>
      </c>
      <c r="Q84" s="51">
        <v>29.02</v>
      </c>
      <c r="R84" s="38">
        <v>8.32</v>
      </c>
      <c r="S84" s="38">
        <v>7.93</v>
      </c>
      <c r="T84" s="37">
        <v>25.2</v>
      </c>
      <c r="U84" s="38">
        <v>29.157</v>
      </c>
      <c r="V84" s="52">
        <v>29.1</v>
      </c>
      <c r="W84" s="38">
        <v>10.74</v>
      </c>
      <c r="X84" s="38">
        <v>5.2050000000000001</v>
      </c>
      <c r="Y84" s="38">
        <v>4.9000000000000004</v>
      </c>
      <c r="Z84" s="38">
        <f t="shared" si="66"/>
        <v>5.1419381665264758</v>
      </c>
      <c r="AA84" s="41">
        <v>22.79</v>
      </c>
      <c r="AB84" s="53"/>
      <c r="AC84" s="42">
        <v>2.17</v>
      </c>
      <c r="AD84" s="43">
        <v>4.34</v>
      </c>
      <c r="AF84" s="115"/>
      <c r="AG84" s="143"/>
      <c r="AH84" s="117"/>
      <c r="AI84" s="210"/>
      <c r="AJ84" s="149"/>
      <c r="AK84" s="147"/>
      <c r="AL84" s="149"/>
      <c r="AM84" s="149"/>
      <c r="AN84" s="112"/>
      <c r="AO84" s="112"/>
      <c r="AP84" s="108"/>
      <c r="AQ84" s="45">
        <v>1.0125</v>
      </c>
      <c r="AR84" s="46">
        <v>21.984200000000001</v>
      </c>
      <c r="AS84" s="46">
        <v>1.1249</v>
      </c>
      <c r="AT84" s="46">
        <v>4.2256</v>
      </c>
      <c r="AU84" s="46">
        <v>1.2115</v>
      </c>
      <c r="AV84" s="47">
        <v>141.2602</v>
      </c>
      <c r="AW84" s="46"/>
      <c r="AX84" s="46"/>
      <c r="AY84" s="48"/>
    </row>
    <row r="85" spans="1:51" customFormat="1" ht="14.25" customHeight="1" x14ac:dyDescent="0.45">
      <c r="A85" s="26">
        <v>2024</v>
      </c>
      <c r="B85" s="27">
        <v>11</v>
      </c>
      <c r="C85" s="27">
        <v>30</v>
      </c>
      <c r="D85" s="28">
        <v>0.31944444444444442</v>
      </c>
      <c r="E85" s="29">
        <v>22</v>
      </c>
      <c r="F85" s="30">
        <v>13.49422</v>
      </c>
      <c r="G85" s="31">
        <v>100.282269</v>
      </c>
      <c r="H85" s="32">
        <v>5.3</v>
      </c>
      <c r="I85" s="27">
        <v>3</v>
      </c>
      <c r="J85" s="33" t="s">
        <v>47</v>
      </c>
      <c r="K85" s="32">
        <v>1</v>
      </c>
      <c r="L85" s="34">
        <v>2</v>
      </c>
      <c r="M85" s="35" t="s">
        <v>71</v>
      </c>
      <c r="N85" s="36">
        <v>0.7</v>
      </c>
      <c r="O85" s="37">
        <v>26.1</v>
      </c>
      <c r="P85" s="38">
        <v>27.408000000000001</v>
      </c>
      <c r="Q85" s="51">
        <v>27.53</v>
      </c>
      <c r="R85" s="38">
        <v>7.52</v>
      </c>
      <c r="S85" s="38">
        <v>7.81</v>
      </c>
      <c r="T85" s="37">
        <v>20</v>
      </c>
      <c r="U85" s="38">
        <v>22.367000000000001</v>
      </c>
      <c r="V85" s="52">
        <v>22.85</v>
      </c>
      <c r="W85" s="57">
        <v>3.93</v>
      </c>
      <c r="X85" s="57">
        <v>4.0609999999999999</v>
      </c>
      <c r="Y85" s="38">
        <v>3.29</v>
      </c>
      <c r="Z85" s="38">
        <f t="shared" si="66"/>
        <v>3.8759495024242137</v>
      </c>
      <c r="AA85" s="41">
        <v>19.57</v>
      </c>
      <c r="AB85" s="53">
        <v>9.9857999999999993</v>
      </c>
      <c r="AC85" s="42">
        <v>9.08</v>
      </c>
      <c r="AD85" s="43">
        <v>10.63</v>
      </c>
      <c r="AE85" s="44" t="s">
        <v>49</v>
      </c>
      <c r="AF85" s="120" t="s">
        <v>49</v>
      </c>
      <c r="AG85" s="143">
        <v>2403.4434645946631</v>
      </c>
      <c r="AH85" s="117">
        <v>7.6994886551607884</v>
      </c>
      <c r="AI85" s="210">
        <v>7.6668802728059591</v>
      </c>
      <c r="AJ85" s="149">
        <v>1293.3360231602908</v>
      </c>
      <c r="AK85" s="147">
        <v>2201.7624020244921</v>
      </c>
      <c r="AL85" s="149">
        <v>86.740465311962595</v>
      </c>
      <c r="AM85" s="149">
        <v>36.786782552418288</v>
      </c>
      <c r="AN85" s="112">
        <v>2.3255342748823367</v>
      </c>
      <c r="AO85" s="112">
        <v>1.4740314266643528</v>
      </c>
      <c r="AP85" s="108">
        <f t="shared" ref="AP85:AP88" si="89">SUM(AK85:AM85)</f>
        <v>2325.2896498888726</v>
      </c>
      <c r="AQ85" s="45">
        <v>4.6818</v>
      </c>
      <c r="AR85" s="46">
        <v>87.572999999999993</v>
      </c>
      <c r="AS85" s="46">
        <v>1.2850999999999999</v>
      </c>
      <c r="AT85" s="46">
        <v>24.5444</v>
      </c>
      <c r="AU85" s="46">
        <v>1.3633999999999999</v>
      </c>
      <c r="AV85" s="47">
        <v>532.32479999999998</v>
      </c>
      <c r="AW85" s="46"/>
      <c r="AX85" s="46"/>
      <c r="AY85" s="48" t="s">
        <v>73</v>
      </c>
    </row>
    <row r="86" spans="1:51" customFormat="1" ht="14.25" customHeight="1" x14ac:dyDescent="0.45">
      <c r="A86" s="26">
        <f t="shared" ref="A86:I86" si="90">A85</f>
        <v>2024</v>
      </c>
      <c r="B86" s="27">
        <f t="shared" si="90"/>
        <v>11</v>
      </c>
      <c r="C86" s="27">
        <f t="shared" si="90"/>
        <v>30</v>
      </c>
      <c r="D86" s="28">
        <f t="shared" si="90"/>
        <v>0.31944444444444442</v>
      </c>
      <c r="E86" s="29">
        <f t="shared" si="90"/>
        <v>22</v>
      </c>
      <c r="F86" s="49">
        <f t="shared" si="90"/>
        <v>13.49422</v>
      </c>
      <c r="G86" s="31">
        <f t="shared" si="90"/>
        <v>100.282269</v>
      </c>
      <c r="H86" s="32">
        <f t="shared" si="90"/>
        <v>5.3</v>
      </c>
      <c r="I86" s="27">
        <f t="shared" si="90"/>
        <v>3</v>
      </c>
      <c r="J86" s="33" t="s">
        <v>51</v>
      </c>
      <c r="K86" s="32">
        <v>2.5</v>
      </c>
      <c r="L86" s="34"/>
      <c r="M86" s="35"/>
      <c r="N86" s="50">
        <f t="shared" ref="N86:N87" si="91">N85</f>
        <v>0.7</v>
      </c>
      <c r="O86" s="37">
        <v>27</v>
      </c>
      <c r="P86" s="38">
        <v>28.477</v>
      </c>
      <c r="Q86" s="51">
        <v>28.52</v>
      </c>
      <c r="R86" s="38">
        <v>7.6</v>
      </c>
      <c r="S86" s="38">
        <v>7.81</v>
      </c>
      <c r="T86" s="37">
        <v>21.3</v>
      </c>
      <c r="U86" s="38">
        <v>27.76</v>
      </c>
      <c r="V86" s="52">
        <v>27.75</v>
      </c>
      <c r="W86" s="38">
        <v>3.56</v>
      </c>
      <c r="X86" s="38">
        <v>2.5640000000000001</v>
      </c>
      <c r="Y86" s="38">
        <v>2.4</v>
      </c>
      <c r="Z86" s="38">
        <f t="shared" si="66"/>
        <v>3.1761172595353857</v>
      </c>
      <c r="AA86" s="41">
        <v>20</v>
      </c>
      <c r="AB86" s="53"/>
      <c r="AC86" s="42">
        <v>10.9</v>
      </c>
      <c r="AD86" s="43">
        <v>13.99</v>
      </c>
      <c r="AF86" s="115"/>
      <c r="AG86" s="143">
        <v>2293.4959983579729</v>
      </c>
      <c r="AH86" s="117">
        <v>7.6991383506035662</v>
      </c>
      <c r="AI86" s="210">
        <v>7.6513341974417379</v>
      </c>
      <c r="AJ86" s="149">
        <v>1210.6953345734821</v>
      </c>
      <c r="AK86" s="147">
        <v>2065.9392420671538</v>
      </c>
      <c r="AL86" s="149">
        <v>94.972940639103726</v>
      </c>
      <c r="AM86" s="149">
        <v>32.648641091922308</v>
      </c>
      <c r="AN86" s="112">
        <v>2.4451867299205845</v>
      </c>
      <c r="AO86" s="112">
        <v>1.5958069529563483</v>
      </c>
      <c r="AP86" s="108">
        <f t="shared" si="89"/>
        <v>2193.5608237981801</v>
      </c>
      <c r="AQ86" s="45">
        <v>3.6673</v>
      </c>
      <c r="AR86" s="46">
        <v>66.101600000000005</v>
      </c>
      <c r="AS86" s="46">
        <v>1.0791999999999999</v>
      </c>
      <c r="AT86" s="46">
        <v>19.869299999999999</v>
      </c>
      <c r="AU86" s="46">
        <v>1.4166000000000001</v>
      </c>
      <c r="AV86" s="47">
        <v>158.97839999999999</v>
      </c>
      <c r="AW86" s="46"/>
      <c r="AX86" s="46"/>
      <c r="AY86" s="48"/>
    </row>
    <row r="87" spans="1:51" customFormat="1" ht="14.25" customHeight="1" x14ac:dyDescent="0.45">
      <c r="A87" s="26">
        <f t="shared" ref="A87:I87" si="92">A86</f>
        <v>2024</v>
      </c>
      <c r="B87" s="27">
        <f t="shared" si="92"/>
        <v>11</v>
      </c>
      <c r="C87" s="27">
        <f t="shared" si="92"/>
        <v>30</v>
      </c>
      <c r="D87" s="28">
        <f t="shared" si="92"/>
        <v>0.31944444444444442</v>
      </c>
      <c r="E87" s="29">
        <f t="shared" si="92"/>
        <v>22</v>
      </c>
      <c r="F87" s="49">
        <f t="shared" si="92"/>
        <v>13.49422</v>
      </c>
      <c r="G87" s="31">
        <f t="shared" si="92"/>
        <v>100.282269</v>
      </c>
      <c r="H87" s="32">
        <f t="shared" si="92"/>
        <v>5.3</v>
      </c>
      <c r="I87" s="27">
        <f t="shared" si="92"/>
        <v>3</v>
      </c>
      <c r="J87" s="33" t="s">
        <v>52</v>
      </c>
      <c r="K87" s="32">
        <v>4</v>
      </c>
      <c r="L87" s="34"/>
      <c r="M87" s="35"/>
      <c r="N87" s="50">
        <f t="shared" si="91"/>
        <v>0.7</v>
      </c>
      <c r="O87" s="37">
        <v>26.7</v>
      </c>
      <c r="P87" s="38">
        <v>28.756</v>
      </c>
      <c r="Q87" s="51">
        <v>28.62</v>
      </c>
      <c r="R87" s="38">
        <v>7.5</v>
      </c>
      <c r="S87" s="38">
        <v>7.85</v>
      </c>
      <c r="T87" s="37">
        <v>22.5</v>
      </c>
      <c r="U87" s="38">
        <v>27.966000000000001</v>
      </c>
      <c r="V87" s="52">
        <v>27.85</v>
      </c>
      <c r="W87" s="38">
        <v>3.9</v>
      </c>
      <c r="X87" s="38">
        <v>2.7229999999999999</v>
      </c>
      <c r="Y87" s="38">
        <v>2.5099999999999998</v>
      </c>
      <c r="Z87" s="38">
        <f t="shared" si="66"/>
        <v>3.2626133794429935</v>
      </c>
      <c r="AA87" s="41">
        <v>31</v>
      </c>
      <c r="AB87" s="53"/>
      <c r="AC87" s="42">
        <v>29.47</v>
      </c>
      <c r="AD87" s="43">
        <v>32.42</v>
      </c>
      <c r="AF87" s="115"/>
      <c r="AG87" s="143">
        <v>2243.0502055387465</v>
      </c>
      <c r="AH87" s="117">
        <v>7.7347931950179794</v>
      </c>
      <c r="AI87" s="113">
        <v>7.6824577056731362</v>
      </c>
      <c r="AJ87" s="147">
        <v>1091.8577699746927</v>
      </c>
      <c r="AK87" s="147">
        <v>2001.3846501589433</v>
      </c>
      <c r="AL87" s="147">
        <v>100.4005081909779</v>
      </c>
      <c r="AM87" s="147">
        <v>29.218262450049231</v>
      </c>
      <c r="AN87" s="112">
        <v>2.5824547285155863</v>
      </c>
      <c r="AO87" s="112">
        <v>1.688285887761255</v>
      </c>
      <c r="AP87" s="108">
        <f t="shared" si="89"/>
        <v>2131.0034207999702</v>
      </c>
      <c r="AQ87" s="45">
        <v>3.1842999999999999</v>
      </c>
      <c r="AR87" s="46">
        <v>56.8996</v>
      </c>
      <c r="AS87" s="46">
        <v>1.1707000000000001</v>
      </c>
      <c r="AT87" s="46">
        <v>16.587700000000002</v>
      </c>
      <c r="AU87" s="46">
        <v>1.0704</v>
      </c>
      <c r="AV87" s="47">
        <v>239.23830000000001</v>
      </c>
      <c r="AW87" s="46"/>
      <c r="AX87" s="46"/>
      <c r="AY87" s="48"/>
    </row>
    <row r="88" spans="1:51" customFormat="1" ht="14.25" customHeight="1" x14ac:dyDescent="0.45">
      <c r="A88" s="26">
        <v>2024</v>
      </c>
      <c r="B88" s="27">
        <v>11</v>
      </c>
      <c r="C88" s="27">
        <v>30</v>
      </c>
      <c r="D88" s="28">
        <v>0.35486111111111113</v>
      </c>
      <c r="E88" s="29">
        <v>21</v>
      </c>
      <c r="F88" s="30">
        <v>13.45762</v>
      </c>
      <c r="G88" s="31">
        <v>100.29765</v>
      </c>
      <c r="H88" s="32">
        <v>3.8</v>
      </c>
      <c r="I88" s="27">
        <v>2</v>
      </c>
      <c r="J88" s="33" t="s">
        <v>47</v>
      </c>
      <c r="K88" s="32">
        <v>1</v>
      </c>
      <c r="L88" s="34">
        <v>2</v>
      </c>
      <c r="M88" s="35" t="s">
        <v>71</v>
      </c>
      <c r="N88" s="36">
        <v>0.5</v>
      </c>
      <c r="O88" s="37">
        <v>26.5</v>
      </c>
      <c r="P88" s="38">
        <v>28.021999999999998</v>
      </c>
      <c r="Q88" s="51">
        <v>28.47</v>
      </c>
      <c r="R88" s="38">
        <v>7.66</v>
      </c>
      <c r="S88" s="38">
        <v>7.89</v>
      </c>
      <c r="T88" s="37">
        <v>22</v>
      </c>
      <c r="U88" s="38">
        <v>26.402000000000001</v>
      </c>
      <c r="V88" s="52">
        <v>27.31</v>
      </c>
      <c r="W88" s="38">
        <v>4.49</v>
      </c>
      <c r="X88" s="38">
        <v>4.1340000000000003</v>
      </c>
      <c r="Y88" s="38">
        <v>2.84</v>
      </c>
      <c r="Z88" s="38">
        <f t="shared" si="66"/>
        <v>3.5221017391658176</v>
      </c>
      <c r="AA88" s="41">
        <v>20.2</v>
      </c>
      <c r="AB88" s="53">
        <v>14.380699999999999</v>
      </c>
      <c r="AC88" s="42">
        <v>8.1</v>
      </c>
      <c r="AD88" s="43">
        <v>8.59</v>
      </c>
      <c r="AE88" s="44" t="s">
        <v>49</v>
      </c>
      <c r="AF88" s="115"/>
      <c r="AG88" s="143">
        <v>2241.2270080594667</v>
      </c>
      <c r="AH88" s="117">
        <v>7.7842954545823639</v>
      </c>
      <c r="AI88" s="113">
        <v>7.7416555764004213</v>
      </c>
      <c r="AJ88" s="147">
        <v>952.24334984340533</v>
      </c>
      <c r="AK88" s="147">
        <v>1986.1921483948072</v>
      </c>
      <c r="AL88" s="147">
        <v>106.58616223513147</v>
      </c>
      <c r="AM88" s="147">
        <v>26.140501272464959</v>
      </c>
      <c r="AN88" s="112">
        <v>2.7710363855058526</v>
      </c>
      <c r="AO88" s="112">
        <v>1.7955449999191009</v>
      </c>
      <c r="AP88" s="108">
        <f t="shared" si="89"/>
        <v>2118.9188119024034</v>
      </c>
      <c r="AQ88" s="45">
        <v>3.1861999999999999</v>
      </c>
      <c r="AR88" s="46">
        <v>53.358699999999999</v>
      </c>
      <c r="AS88" s="46">
        <v>1.2507999999999999</v>
      </c>
      <c r="AT88" s="46">
        <v>12.5869</v>
      </c>
      <c r="AU88" s="46">
        <v>1.6014999999999999</v>
      </c>
      <c r="AV88" s="47">
        <v>237.6337</v>
      </c>
      <c r="AW88" s="46"/>
      <c r="AX88" s="46"/>
      <c r="AY88" s="48" t="s">
        <v>73</v>
      </c>
    </row>
    <row r="89" spans="1:51" customFormat="1" ht="14.25" customHeight="1" x14ac:dyDescent="0.45">
      <c r="A89" s="26">
        <f t="shared" ref="A89:I89" si="93">A88</f>
        <v>2024</v>
      </c>
      <c r="B89" s="27">
        <f t="shared" si="93"/>
        <v>11</v>
      </c>
      <c r="C89" s="27">
        <f t="shared" si="93"/>
        <v>30</v>
      </c>
      <c r="D89" s="28">
        <f t="shared" si="93"/>
        <v>0.35486111111111113</v>
      </c>
      <c r="E89" s="29">
        <f t="shared" si="93"/>
        <v>21</v>
      </c>
      <c r="F89" s="49">
        <f t="shared" si="93"/>
        <v>13.45762</v>
      </c>
      <c r="G89" s="31">
        <f t="shared" si="93"/>
        <v>100.29765</v>
      </c>
      <c r="H89" s="32">
        <f t="shared" si="93"/>
        <v>3.8</v>
      </c>
      <c r="I89" s="27">
        <f t="shared" si="93"/>
        <v>2</v>
      </c>
      <c r="J89" s="33" t="s">
        <v>51</v>
      </c>
      <c r="K89" s="32"/>
      <c r="L89" s="34"/>
      <c r="M89" s="35"/>
      <c r="N89" s="50">
        <f t="shared" ref="N89:N90" si="94">N88</f>
        <v>0.5</v>
      </c>
      <c r="O89" s="37"/>
      <c r="P89" s="38"/>
      <c r="Q89" s="51"/>
      <c r="R89" s="38"/>
      <c r="T89" s="37"/>
      <c r="U89" s="38"/>
      <c r="V89" s="52"/>
      <c r="W89" s="38"/>
      <c r="X89" s="38"/>
      <c r="Y89" s="38"/>
      <c r="Z89" s="38"/>
      <c r="AA89" s="41"/>
      <c r="AB89" s="53"/>
      <c r="AC89" s="42"/>
      <c r="AD89" s="43"/>
      <c r="AF89" s="115"/>
      <c r="AG89" s="145"/>
      <c r="AH89" s="119"/>
      <c r="AI89" s="113"/>
      <c r="AJ89" s="147"/>
      <c r="AK89" s="147"/>
      <c r="AL89" s="147"/>
      <c r="AM89" s="147"/>
      <c r="AN89" s="112"/>
      <c r="AO89" s="112"/>
      <c r="AP89" s="108"/>
      <c r="AQ89" s="45"/>
      <c r="AR89" s="46"/>
      <c r="AS89" s="46"/>
      <c r="AT89" s="46"/>
      <c r="AU89" s="46"/>
      <c r="AV89" s="47"/>
      <c r="AW89" s="46"/>
      <c r="AX89" s="46"/>
      <c r="AY89" s="48"/>
    </row>
    <row r="90" spans="1:51" customFormat="1" ht="14.25" customHeight="1" x14ac:dyDescent="0.45">
      <c r="A90" s="26">
        <f t="shared" ref="A90:I90" si="95">A89</f>
        <v>2024</v>
      </c>
      <c r="B90" s="27">
        <f t="shared" si="95"/>
        <v>11</v>
      </c>
      <c r="C90" s="27">
        <f t="shared" si="95"/>
        <v>30</v>
      </c>
      <c r="D90" s="28">
        <f t="shared" si="95"/>
        <v>0.35486111111111113</v>
      </c>
      <c r="E90" s="29">
        <f t="shared" si="95"/>
        <v>21</v>
      </c>
      <c r="F90" s="49">
        <f t="shared" si="95"/>
        <v>13.45762</v>
      </c>
      <c r="G90" s="31">
        <f t="shared" si="95"/>
        <v>100.29765</v>
      </c>
      <c r="H90" s="32">
        <f t="shared" si="95"/>
        <v>3.8</v>
      </c>
      <c r="I90" s="27">
        <f t="shared" si="95"/>
        <v>2</v>
      </c>
      <c r="J90" s="33" t="s">
        <v>52</v>
      </c>
      <c r="K90" s="32">
        <v>2.5</v>
      </c>
      <c r="L90" s="34"/>
      <c r="M90" s="35"/>
      <c r="N90" s="50">
        <f t="shared" si="94"/>
        <v>0.5</v>
      </c>
      <c r="O90" s="37">
        <v>27.3</v>
      </c>
      <c r="P90" s="38">
        <v>28.693000000000001</v>
      </c>
      <c r="Q90" s="51">
        <v>28.74</v>
      </c>
      <c r="R90" s="38">
        <v>7.64</v>
      </c>
      <c r="S90" s="38">
        <v>7.88</v>
      </c>
      <c r="T90" s="37">
        <v>24.7</v>
      </c>
      <c r="U90" s="38">
        <v>27.957999999999998</v>
      </c>
      <c r="V90" s="52">
        <v>27.97</v>
      </c>
      <c r="W90" s="38">
        <v>3.88</v>
      </c>
      <c r="X90" s="38">
        <v>3.9790000000000001</v>
      </c>
      <c r="Y90" s="38">
        <v>3.84</v>
      </c>
      <c r="Z90" s="38">
        <f t="shared" ref="Z90:Z154" si="96">Y90*$W$1+$Y$1</f>
        <v>4.3084301019622533</v>
      </c>
      <c r="AA90" s="41">
        <v>21.38</v>
      </c>
      <c r="AB90" s="53"/>
      <c r="AC90" s="42">
        <v>5.17</v>
      </c>
      <c r="AD90" s="43">
        <v>8.08</v>
      </c>
      <c r="AF90" s="115"/>
      <c r="AG90" s="143">
        <v>2263.1189343369297</v>
      </c>
      <c r="AH90" s="117">
        <v>7.7983600121849994</v>
      </c>
      <c r="AI90" s="113">
        <v>7.7459083281585626</v>
      </c>
      <c r="AJ90" s="147">
        <v>936.29036805270891</v>
      </c>
      <c r="AK90" s="147">
        <v>1986.5730014109072</v>
      </c>
      <c r="AL90" s="147">
        <v>115.03709122380812</v>
      </c>
      <c r="AM90" s="147">
        <v>25.093877499542984</v>
      </c>
      <c r="AN90" s="112">
        <v>2.9590876953413825</v>
      </c>
      <c r="AO90" s="112">
        <v>1.9340340178830986</v>
      </c>
      <c r="AP90" s="108">
        <f t="shared" ref="AP90" si="97">SUM(AK90:AM90)</f>
        <v>2126.7039701342583</v>
      </c>
      <c r="AQ90" s="45">
        <v>3.2829000000000002</v>
      </c>
      <c r="AR90" s="46">
        <v>53.183399999999999</v>
      </c>
      <c r="AS90" s="46">
        <v>2.3148</v>
      </c>
      <c r="AT90" s="46">
        <v>14.9244</v>
      </c>
      <c r="AU90" s="46">
        <v>1.3524</v>
      </c>
      <c r="AV90" s="47">
        <v>177.7413</v>
      </c>
      <c r="AW90" s="46"/>
      <c r="AX90" s="46"/>
      <c r="AY90" s="48"/>
    </row>
    <row r="91" spans="1:51" customFormat="1" ht="14.25" customHeight="1" x14ac:dyDescent="0.45">
      <c r="A91" s="26">
        <v>2024</v>
      </c>
      <c r="B91" s="54">
        <v>11</v>
      </c>
      <c r="C91" s="27">
        <v>30</v>
      </c>
      <c r="D91" s="28">
        <v>0.40486111111111112</v>
      </c>
      <c r="E91" s="29">
        <v>24</v>
      </c>
      <c r="F91" s="30">
        <v>13.358919999999999</v>
      </c>
      <c r="G91" s="31">
        <v>100.39851</v>
      </c>
      <c r="H91" s="32">
        <v>11</v>
      </c>
      <c r="I91" s="27">
        <v>3</v>
      </c>
      <c r="J91" s="33" t="s">
        <v>47</v>
      </c>
      <c r="K91" s="32">
        <v>1</v>
      </c>
      <c r="L91" s="34">
        <v>5</v>
      </c>
      <c r="M91" s="35" t="s">
        <v>48</v>
      </c>
      <c r="N91" s="36">
        <v>1.4</v>
      </c>
      <c r="O91" s="37">
        <v>27.1</v>
      </c>
      <c r="P91" s="38">
        <v>27.9</v>
      </c>
      <c r="Q91" s="51">
        <v>27.92</v>
      </c>
      <c r="R91" s="38">
        <v>7.83</v>
      </c>
      <c r="S91" s="38">
        <v>8.1300000000000008</v>
      </c>
      <c r="T91" s="37">
        <v>27.6</v>
      </c>
      <c r="U91" s="38">
        <v>30.37</v>
      </c>
      <c r="V91" s="52">
        <v>30.36</v>
      </c>
      <c r="W91" s="38">
        <v>6.41</v>
      </c>
      <c r="X91" s="38">
        <v>6.8959999999999999</v>
      </c>
      <c r="Y91" s="38">
        <v>6.31</v>
      </c>
      <c r="Z91" s="38">
        <f t="shared" si="96"/>
        <v>6.25066115806945</v>
      </c>
      <c r="AA91" s="41">
        <v>6.8</v>
      </c>
      <c r="AB91" s="53">
        <v>3.2362000000000002</v>
      </c>
      <c r="AC91" s="42">
        <v>3.4</v>
      </c>
      <c r="AD91" s="43">
        <v>2.09</v>
      </c>
      <c r="AE91" s="44" t="s">
        <v>49</v>
      </c>
      <c r="AF91" s="120" t="s">
        <v>49</v>
      </c>
      <c r="AG91" s="143"/>
      <c r="AH91" s="117"/>
      <c r="AI91" s="113"/>
      <c r="AJ91" s="147"/>
      <c r="AK91" s="147"/>
      <c r="AL91" s="147"/>
      <c r="AM91" s="147"/>
      <c r="AN91" s="112"/>
      <c r="AO91" s="112"/>
      <c r="AP91" s="108"/>
      <c r="AQ91" s="45">
        <v>0.86750000000000005</v>
      </c>
      <c r="AR91" s="46">
        <v>16.550599999999999</v>
      </c>
      <c r="AS91" s="46">
        <v>0.98770000000000002</v>
      </c>
      <c r="AT91" s="46">
        <v>6.5632000000000001</v>
      </c>
      <c r="AU91" s="46">
        <v>2.0173999999999999</v>
      </c>
      <c r="AV91" s="47">
        <v>163.4659</v>
      </c>
      <c r="AW91" s="46"/>
      <c r="AX91" s="46"/>
      <c r="AY91" s="48" t="s">
        <v>74</v>
      </c>
    </row>
    <row r="92" spans="1:51" customFormat="1" ht="14.25" customHeight="1" x14ac:dyDescent="0.45">
      <c r="A92" s="26">
        <f t="shared" ref="A92:I92" si="98">A91</f>
        <v>2024</v>
      </c>
      <c r="B92" s="27">
        <f t="shared" si="98"/>
        <v>11</v>
      </c>
      <c r="C92" s="27">
        <f t="shared" si="98"/>
        <v>30</v>
      </c>
      <c r="D92" s="28">
        <f t="shared" si="98"/>
        <v>0.40486111111111112</v>
      </c>
      <c r="E92" s="29">
        <f t="shared" si="98"/>
        <v>24</v>
      </c>
      <c r="F92" s="49">
        <f t="shared" si="98"/>
        <v>13.358919999999999</v>
      </c>
      <c r="G92" s="31">
        <f t="shared" si="98"/>
        <v>100.39851</v>
      </c>
      <c r="H92" s="32">
        <f t="shared" si="98"/>
        <v>11</v>
      </c>
      <c r="I92" s="27">
        <f t="shared" si="98"/>
        <v>3</v>
      </c>
      <c r="J92" s="33" t="s">
        <v>51</v>
      </c>
      <c r="K92" s="32">
        <v>5.5</v>
      </c>
      <c r="L92" s="34"/>
      <c r="M92" s="35"/>
      <c r="N92" s="50">
        <f t="shared" ref="N92:N93" si="99">N91</f>
        <v>1.4</v>
      </c>
      <c r="O92" s="37">
        <v>27.3</v>
      </c>
      <c r="P92" s="38">
        <v>28.209</v>
      </c>
      <c r="Q92" s="51">
        <v>28.19</v>
      </c>
      <c r="R92" s="38">
        <v>7.84</v>
      </c>
      <c r="S92" s="38">
        <v>8.14</v>
      </c>
      <c r="T92" s="37">
        <v>28</v>
      </c>
      <c r="U92" s="38">
        <v>31.015999999999998</v>
      </c>
      <c r="V92" s="52">
        <v>30.88</v>
      </c>
      <c r="W92" s="38">
        <v>6.43</v>
      </c>
      <c r="X92" s="38">
        <v>6.516</v>
      </c>
      <c r="Y92" s="38">
        <v>6.11</v>
      </c>
      <c r="Z92" s="38">
        <f t="shared" si="96"/>
        <v>6.0933954855101629</v>
      </c>
      <c r="AA92" s="41">
        <v>11.1</v>
      </c>
      <c r="AB92" s="53"/>
      <c r="AC92" s="42">
        <v>4.0999999999999996</v>
      </c>
      <c r="AD92" s="43">
        <v>1.63</v>
      </c>
      <c r="AF92" s="115"/>
      <c r="AG92" s="143"/>
      <c r="AH92" s="117"/>
      <c r="AI92" s="113"/>
      <c r="AJ92" s="147"/>
      <c r="AK92" s="147"/>
      <c r="AL92" s="147"/>
      <c r="AM92" s="147"/>
      <c r="AN92" s="112"/>
      <c r="AO92" s="112"/>
      <c r="AP92" s="108"/>
      <c r="AQ92" s="45">
        <v>0.86750000000000005</v>
      </c>
      <c r="AR92" s="46">
        <v>16.550599999999999</v>
      </c>
      <c r="AS92" s="46">
        <v>0.87319999999999998</v>
      </c>
      <c r="AT92" s="46">
        <v>7.2824</v>
      </c>
      <c r="AU92" s="46">
        <v>2.0809000000000002</v>
      </c>
      <c r="AV92" s="47">
        <v>125.6614</v>
      </c>
      <c r="AW92" s="46"/>
      <c r="AX92" s="46"/>
      <c r="AY92" s="48"/>
    </row>
    <row r="93" spans="1:51" customFormat="1" ht="14.25" customHeight="1" x14ac:dyDescent="0.45">
      <c r="A93" s="26">
        <f t="shared" ref="A93:I93" si="100">A92</f>
        <v>2024</v>
      </c>
      <c r="B93" s="27">
        <f t="shared" si="100"/>
        <v>11</v>
      </c>
      <c r="C93" s="27">
        <f t="shared" si="100"/>
        <v>30</v>
      </c>
      <c r="D93" s="28">
        <f t="shared" si="100"/>
        <v>0.40486111111111112</v>
      </c>
      <c r="E93" s="29">
        <f t="shared" si="100"/>
        <v>24</v>
      </c>
      <c r="F93" s="49">
        <f t="shared" si="100"/>
        <v>13.358919999999999</v>
      </c>
      <c r="G93" s="31">
        <f t="shared" si="100"/>
        <v>100.39851</v>
      </c>
      <c r="H93" s="32">
        <f t="shared" si="100"/>
        <v>11</v>
      </c>
      <c r="I93" s="27">
        <f t="shared" si="100"/>
        <v>3</v>
      </c>
      <c r="J93" s="33" t="s">
        <v>52</v>
      </c>
      <c r="K93" s="32">
        <v>10</v>
      </c>
      <c r="L93" s="34"/>
      <c r="M93" s="35"/>
      <c r="N93" s="50">
        <f t="shared" si="99"/>
        <v>1.4</v>
      </c>
      <c r="O93" s="37">
        <v>27.3</v>
      </c>
      <c r="P93" s="38">
        <v>28.550999999999998</v>
      </c>
      <c r="Q93" s="51">
        <v>28.56</v>
      </c>
      <c r="R93" s="38">
        <v>7.87</v>
      </c>
      <c r="S93" s="38">
        <v>8.14</v>
      </c>
      <c r="T93" s="37">
        <v>28.2</v>
      </c>
      <c r="U93" s="38">
        <v>31.577999999999999</v>
      </c>
      <c r="V93" s="52">
        <v>31.44</v>
      </c>
      <c r="W93" s="38">
        <v>6.02</v>
      </c>
      <c r="X93" s="38">
        <v>6.3410000000000002</v>
      </c>
      <c r="Y93" s="38">
        <v>5.93</v>
      </c>
      <c r="Z93" s="38">
        <f t="shared" si="96"/>
        <v>5.9518563802068041</v>
      </c>
      <c r="AA93" s="41">
        <v>10.3</v>
      </c>
      <c r="AB93" s="53"/>
      <c r="AC93" s="42">
        <v>0.7</v>
      </c>
      <c r="AD93" s="43">
        <v>1.64</v>
      </c>
      <c r="AF93" s="115"/>
      <c r="AG93" s="143"/>
      <c r="AH93" s="117"/>
      <c r="AI93" s="113"/>
      <c r="AJ93" s="147"/>
      <c r="AK93" s="147"/>
      <c r="AL93" s="147"/>
      <c r="AM93" s="147"/>
      <c r="AN93" s="112"/>
      <c r="AO93" s="112"/>
      <c r="AP93" s="108"/>
      <c r="AQ93" s="45">
        <v>0.77090000000000003</v>
      </c>
      <c r="AR93" s="46">
        <v>56.426000000000002</v>
      </c>
      <c r="AS93" s="46">
        <v>0.62150000000000005</v>
      </c>
      <c r="AT93" s="46">
        <v>7.5521000000000003</v>
      </c>
      <c r="AU93" s="46">
        <v>1.6194999999999999</v>
      </c>
      <c r="AV93" s="47">
        <v>130.7037</v>
      </c>
      <c r="AW93" s="46"/>
      <c r="AX93" s="46"/>
      <c r="AY93" s="48"/>
    </row>
    <row r="94" spans="1:51" customFormat="1" ht="14.25" customHeight="1" x14ac:dyDescent="0.45">
      <c r="A94" s="26">
        <v>2024</v>
      </c>
      <c r="B94" s="27">
        <v>11</v>
      </c>
      <c r="C94" s="27">
        <v>30</v>
      </c>
      <c r="D94" s="28">
        <v>0.4513888888888889</v>
      </c>
      <c r="E94" s="29">
        <v>25</v>
      </c>
      <c r="F94" s="30">
        <v>13.296099999999999</v>
      </c>
      <c r="G94" s="31">
        <v>100.39858</v>
      </c>
      <c r="H94" s="32">
        <v>13.5</v>
      </c>
      <c r="I94" s="27">
        <v>3</v>
      </c>
      <c r="J94" s="33" t="s">
        <v>47</v>
      </c>
      <c r="K94" s="32">
        <v>1</v>
      </c>
      <c r="L94" s="34">
        <v>5</v>
      </c>
      <c r="M94" s="35" t="s">
        <v>48</v>
      </c>
      <c r="N94" s="36">
        <v>1.7</v>
      </c>
      <c r="O94" s="37">
        <v>27.9</v>
      </c>
      <c r="P94" s="38">
        <v>28.734999999999999</v>
      </c>
      <c r="Q94" s="51">
        <v>28.74</v>
      </c>
      <c r="R94" s="38">
        <v>7.91</v>
      </c>
      <c r="S94" s="38">
        <v>8.1199999999999992</v>
      </c>
      <c r="T94" s="37">
        <v>28.9</v>
      </c>
      <c r="U94" s="38">
        <v>31.847999999999999</v>
      </c>
      <c r="V94" s="52">
        <v>31.72</v>
      </c>
      <c r="W94" s="38"/>
      <c r="X94" s="38">
        <v>6.8310000000000004</v>
      </c>
      <c r="Y94" s="38">
        <v>6.12</v>
      </c>
      <c r="Z94" s="38">
        <f t="shared" si="96"/>
        <v>6.101258769138127</v>
      </c>
      <c r="AA94" s="41"/>
      <c r="AB94" s="53"/>
      <c r="AC94" s="42">
        <v>0.74</v>
      </c>
      <c r="AD94" s="43">
        <v>1.32</v>
      </c>
      <c r="AE94" s="44"/>
      <c r="AF94" s="120"/>
      <c r="AG94" s="143"/>
      <c r="AH94" s="117"/>
      <c r="AI94" s="113"/>
      <c r="AJ94" s="147"/>
      <c r="AK94" s="147"/>
      <c r="AL94" s="147"/>
      <c r="AM94" s="147"/>
      <c r="AN94" s="112"/>
      <c r="AO94" s="112"/>
      <c r="AP94" s="108"/>
      <c r="AQ94" s="45"/>
      <c r="AR94" s="46"/>
      <c r="AS94" s="46"/>
      <c r="AT94" s="46"/>
      <c r="AU94" s="46"/>
      <c r="AV94" s="47"/>
      <c r="AW94" s="46"/>
      <c r="AX94" s="46"/>
      <c r="AY94" s="48" t="s">
        <v>75</v>
      </c>
    </row>
    <row r="95" spans="1:51" customFormat="1" ht="14.25" customHeight="1" x14ac:dyDescent="0.45">
      <c r="A95" s="26">
        <f t="shared" ref="A95:I95" si="101">A94</f>
        <v>2024</v>
      </c>
      <c r="B95" s="27">
        <f t="shared" si="101"/>
        <v>11</v>
      </c>
      <c r="C95" s="27">
        <f t="shared" si="101"/>
        <v>30</v>
      </c>
      <c r="D95" s="28">
        <f t="shared" si="101"/>
        <v>0.4513888888888889</v>
      </c>
      <c r="E95" s="29">
        <f t="shared" si="101"/>
        <v>25</v>
      </c>
      <c r="F95" s="49">
        <f t="shared" si="101"/>
        <v>13.296099999999999</v>
      </c>
      <c r="G95" s="31">
        <f t="shared" si="101"/>
        <v>100.39858</v>
      </c>
      <c r="H95" s="32">
        <f t="shared" si="101"/>
        <v>13.5</v>
      </c>
      <c r="I95" s="27">
        <f t="shared" si="101"/>
        <v>3</v>
      </c>
      <c r="J95" s="33" t="s">
        <v>51</v>
      </c>
      <c r="K95" s="32">
        <v>6.5</v>
      </c>
      <c r="L95" s="34"/>
      <c r="M95" s="35"/>
      <c r="N95" s="50">
        <f t="shared" ref="N95:N96" si="102">N94</f>
        <v>1.7</v>
      </c>
      <c r="O95" s="37">
        <v>28.1</v>
      </c>
      <c r="P95" s="38">
        <v>28.707000000000001</v>
      </c>
      <c r="Q95" s="51">
        <v>28.72</v>
      </c>
      <c r="R95" s="38">
        <v>7.92</v>
      </c>
      <c r="S95" s="38">
        <v>8.1199999999999992</v>
      </c>
      <c r="T95" s="37">
        <v>29</v>
      </c>
      <c r="U95" s="38">
        <v>31.904</v>
      </c>
      <c r="V95" s="52">
        <v>31.72</v>
      </c>
      <c r="W95" s="38"/>
      <c r="X95" s="38">
        <v>6.6180000000000003</v>
      </c>
      <c r="Y95" s="38">
        <v>6.11</v>
      </c>
      <c r="Z95" s="38">
        <f t="shared" si="96"/>
        <v>6.0933954855101629</v>
      </c>
      <c r="AA95" s="41"/>
      <c r="AB95" s="53"/>
      <c r="AC95" s="42">
        <v>0.92</v>
      </c>
      <c r="AD95" s="43">
        <v>1.47</v>
      </c>
      <c r="AF95" s="115"/>
      <c r="AG95" s="143"/>
      <c r="AH95" s="117"/>
      <c r="AI95" s="113"/>
      <c r="AJ95" s="147"/>
      <c r="AK95" s="147"/>
      <c r="AL95" s="147"/>
      <c r="AM95" s="147"/>
      <c r="AN95" s="112"/>
      <c r="AO95" s="112"/>
      <c r="AP95" s="108"/>
      <c r="AQ95" s="45"/>
      <c r="AR95" s="46"/>
      <c r="AS95" s="46"/>
      <c r="AT95" s="46"/>
      <c r="AU95" s="46"/>
      <c r="AV95" s="47"/>
      <c r="AW95" s="46"/>
      <c r="AX95" s="46"/>
      <c r="AY95" s="48"/>
    </row>
    <row r="96" spans="1:51" customFormat="1" ht="14.25" customHeight="1" x14ac:dyDescent="0.45">
      <c r="A96" s="26">
        <f t="shared" ref="A96:I96" si="103">A95</f>
        <v>2024</v>
      </c>
      <c r="B96" s="27">
        <f t="shared" si="103"/>
        <v>11</v>
      </c>
      <c r="C96" s="27">
        <f t="shared" si="103"/>
        <v>30</v>
      </c>
      <c r="D96" s="28">
        <f t="shared" si="103"/>
        <v>0.4513888888888889</v>
      </c>
      <c r="E96" s="29">
        <f t="shared" si="103"/>
        <v>25</v>
      </c>
      <c r="F96" s="49">
        <f t="shared" si="103"/>
        <v>13.296099999999999</v>
      </c>
      <c r="G96" s="31">
        <f t="shared" si="103"/>
        <v>100.39858</v>
      </c>
      <c r="H96" s="32">
        <f t="shared" si="103"/>
        <v>13.5</v>
      </c>
      <c r="I96" s="27">
        <f t="shared" si="103"/>
        <v>3</v>
      </c>
      <c r="J96" s="33" t="s">
        <v>52</v>
      </c>
      <c r="K96" s="32">
        <v>12</v>
      </c>
      <c r="L96" s="34"/>
      <c r="M96" s="35"/>
      <c r="N96" s="50">
        <f t="shared" si="102"/>
        <v>1.7</v>
      </c>
      <c r="O96" s="37">
        <v>28</v>
      </c>
      <c r="P96" s="38">
        <v>28.693000000000001</v>
      </c>
      <c r="Q96" s="51">
        <v>28.7</v>
      </c>
      <c r="R96" s="38">
        <v>7.92</v>
      </c>
      <c r="S96" s="38">
        <v>8.1199999999999992</v>
      </c>
      <c r="T96" s="37">
        <v>29</v>
      </c>
      <c r="U96" s="38">
        <v>31.957999999999998</v>
      </c>
      <c r="V96" s="52">
        <v>31.73</v>
      </c>
      <c r="W96" s="38"/>
      <c r="X96" s="38">
        <v>6.4790000000000001</v>
      </c>
      <c r="Y96" s="38">
        <v>6.04</v>
      </c>
      <c r="Z96" s="38">
        <f t="shared" si="96"/>
        <v>6.0383525001144127</v>
      </c>
      <c r="AA96" s="41"/>
      <c r="AB96" s="53"/>
      <c r="AC96" s="42">
        <v>0.88</v>
      </c>
      <c r="AD96" s="43">
        <v>2.1</v>
      </c>
      <c r="AF96" s="115"/>
      <c r="AG96" s="143"/>
      <c r="AH96" s="117"/>
      <c r="AI96" s="113"/>
      <c r="AJ96" s="147"/>
      <c r="AK96" s="147"/>
      <c r="AL96" s="147"/>
      <c r="AM96" s="147"/>
      <c r="AN96" s="112"/>
      <c r="AO96" s="112"/>
      <c r="AP96" s="108"/>
      <c r="AQ96" s="45"/>
      <c r="AR96" s="46"/>
      <c r="AS96" s="46"/>
      <c r="AT96" s="46"/>
      <c r="AU96" s="46"/>
      <c r="AV96" s="47"/>
      <c r="AW96" s="46"/>
      <c r="AX96" s="46"/>
      <c r="AY96" s="48"/>
    </row>
    <row r="97" spans="1:51" customFormat="1" ht="14.25" customHeight="1" x14ac:dyDescent="0.45">
      <c r="A97" s="26">
        <v>2024</v>
      </c>
      <c r="B97" s="27">
        <v>11</v>
      </c>
      <c r="C97" s="27">
        <v>30</v>
      </c>
      <c r="D97" s="28">
        <v>0.5</v>
      </c>
      <c r="E97" s="29">
        <v>34</v>
      </c>
      <c r="F97" s="30">
        <v>13.331480000000001</v>
      </c>
      <c r="G97" s="31">
        <v>100.53201</v>
      </c>
      <c r="H97" s="32">
        <v>13.5</v>
      </c>
      <c r="I97" s="27">
        <v>3</v>
      </c>
      <c r="J97" s="33" t="s">
        <v>47</v>
      </c>
      <c r="K97" s="32">
        <v>1</v>
      </c>
      <c r="L97" s="34">
        <v>8</v>
      </c>
      <c r="M97" s="35" t="s">
        <v>48</v>
      </c>
      <c r="N97" s="36">
        <v>2</v>
      </c>
      <c r="O97" s="37">
        <v>28.5</v>
      </c>
      <c r="P97" s="38">
        <v>28.907</v>
      </c>
      <c r="Q97" s="51">
        <v>28.88</v>
      </c>
      <c r="R97" s="38">
        <v>7.91</v>
      </c>
      <c r="S97" s="38">
        <v>8.16</v>
      </c>
      <c r="T97" s="37">
        <v>29.8</v>
      </c>
      <c r="U97" s="38">
        <v>31.943999999999999</v>
      </c>
      <c r="V97" s="52">
        <v>31.83</v>
      </c>
      <c r="W97" s="38"/>
      <c r="X97" s="38">
        <v>6.7750000000000004</v>
      </c>
      <c r="Y97" s="38">
        <v>6.29</v>
      </c>
      <c r="Z97" s="38">
        <f t="shared" si="96"/>
        <v>6.2349345908135216</v>
      </c>
      <c r="AA97" s="41"/>
      <c r="AB97" s="53"/>
      <c r="AC97" s="42">
        <v>0.66</v>
      </c>
      <c r="AD97" s="43">
        <v>1.1200000000000001</v>
      </c>
      <c r="AF97" s="115"/>
      <c r="AG97" s="143"/>
      <c r="AH97" s="117"/>
      <c r="AI97" s="113"/>
      <c r="AJ97" s="147"/>
      <c r="AK97" s="147"/>
      <c r="AL97" s="147"/>
      <c r="AM97" s="147"/>
      <c r="AN97" s="112"/>
      <c r="AO97" s="112"/>
      <c r="AP97" s="108"/>
      <c r="AQ97" s="45"/>
      <c r="AR97" s="46"/>
      <c r="AS97" s="46"/>
      <c r="AT97" s="46"/>
      <c r="AU97" s="46"/>
      <c r="AV97" s="47"/>
      <c r="AW97" s="46"/>
      <c r="AX97" s="46"/>
      <c r="AY97" s="48" t="s">
        <v>75</v>
      </c>
    </row>
    <row r="98" spans="1:51" customFormat="1" ht="14.25" customHeight="1" x14ac:dyDescent="0.45">
      <c r="A98" s="26">
        <f t="shared" ref="A98:I98" si="104">A97</f>
        <v>2024</v>
      </c>
      <c r="B98" s="27">
        <f t="shared" si="104"/>
        <v>11</v>
      </c>
      <c r="C98" s="27">
        <f t="shared" si="104"/>
        <v>30</v>
      </c>
      <c r="D98" s="28">
        <f t="shared" si="104"/>
        <v>0.5</v>
      </c>
      <c r="E98" s="29">
        <f t="shared" si="104"/>
        <v>34</v>
      </c>
      <c r="F98" s="49">
        <f t="shared" si="104"/>
        <v>13.331480000000001</v>
      </c>
      <c r="G98" s="31">
        <f t="shared" si="104"/>
        <v>100.53201</v>
      </c>
      <c r="H98" s="32">
        <f t="shared" si="104"/>
        <v>13.5</v>
      </c>
      <c r="I98" s="27">
        <f t="shared" si="104"/>
        <v>3</v>
      </c>
      <c r="J98" s="33" t="s">
        <v>51</v>
      </c>
      <c r="K98" s="32">
        <v>6.5</v>
      </c>
      <c r="L98" s="34"/>
      <c r="M98" s="35"/>
      <c r="N98" s="50">
        <f t="shared" ref="N98:N99" si="105">N97</f>
        <v>2</v>
      </c>
      <c r="O98" s="37">
        <v>28.2</v>
      </c>
      <c r="P98" s="38">
        <v>28.863</v>
      </c>
      <c r="Q98" s="51">
        <v>28.87</v>
      </c>
      <c r="R98" s="38">
        <v>7.95</v>
      </c>
      <c r="S98" s="38">
        <v>8.17</v>
      </c>
      <c r="T98" s="37">
        <v>29.3</v>
      </c>
      <c r="U98" s="38">
        <v>31.986999999999998</v>
      </c>
      <c r="V98" s="52">
        <v>31.83</v>
      </c>
      <c r="W98" s="38"/>
      <c r="X98" s="38">
        <v>6.7169999999999996</v>
      </c>
      <c r="Y98" s="38">
        <v>6.29</v>
      </c>
      <c r="Z98" s="38">
        <f t="shared" si="96"/>
        <v>6.2349345908135216</v>
      </c>
      <c r="AA98" s="41"/>
      <c r="AB98" s="53"/>
      <c r="AC98" s="42">
        <v>0.84</v>
      </c>
      <c r="AD98" s="43">
        <v>1.35</v>
      </c>
      <c r="AF98" s="115"/>
      <c r="AG98" s="143"/>
      <c r="AH98" s="117"/>
      <c r="AI98" s="113"/>
      <c r="AJ98" s="147"/>
      <c r="AK98" s="147"/>
      <c r="AL98" s="147"/>
      <c r="AM98" s="147"/>
      <c r="AN98" s="112"/>
      <c r="AO98" s="112"/>
      <c r="AP98" s="108"/>
      <c r="AQ98" s="45"/>
      <c r="AR98" s="46"/>
      <c r="AS98" s="46"/>
      <c r="AT98" s="46"/>
      <c r="AU98" s="46"/>
      <c r="AV98" s="47"/>
      <c r="AW98" s="46"/>
      <c r="AX98" s="46"/>
      <c r="AY98" s="48"/>
    </row>
    <row r="99" spans="1:51" customFormat="1" ht="14.25" customHeight="1" x14ac:dyDescent="0.45">
      <c r="A99" s="26">
        <f t="shared" ref="A99:I99" si="106">A98</f>
        <v>2024</v>
      </c>
      <c r="B99" s="27">
        <f t="shared" si="106"/>
        <v>11</v>
      </c>
      <c r="C99" s="27">
        <f t="shared" si="106"/>
        <v>30</v>
      </c>
      <c r="D99" s="28">
        <f t="shared" si="106"/>
        <v>0.5</v>
      </c>
      <c r="E99" s="29">
        <f t="shared" si="106"/>
        <v>34</v>
      </c>
      <c r="F99" s="49">
        <f t="shared" si="106"/>
        <v>13.331480000000001</v>
      </c>
      <c r="G99" s="31">
        <f t="shared" si="106"/>
        <v>100.53201</v>
      </c>
      <c r="H99" s="32">
        <f t="shared" si="106"/>
        <v>13.5</v>
      </c>
      <c r="I99" s="27">
        <f t="shared" si="106"/>
        <v>3</v>
      </c>
      <c r="J99" s="33" t="s">
        <v>52</v>
      </c>
      <c r="K99" s="32">
        <v>12</v>
      </c>
      <c r="L99" s="34"/>
      <c r="M99" s="35"/>
      <c r="N99" s="50">
        <f t="shared" si="105"/>
        <v>2</v>
      </c>
      <c r="O99" s="37">
        <v>28.5</v>
      </c>
      <c r="P99" s="38">
        <v>28.844999999999999</v>
      </c>
      <c r="Q99" s="51">
        <v>28.85</v>
      </c>
      <c r="R99" s="38">
        <v>7.94</v>
      </c>
      <c r="S99" s="38">
        <v>8.17</v>
      </c>
      <c r="T99" s="37">
        <v>29.2</v>
      </c>
      <c r="U99" s="38">
        <v>32.005000000000003</v>
      </c>
      <c r="V99" s="52">
        <v>31.83</v>
      </c>
      <c r="W99" s="38"/>
      <c r="X99" s="38">
        <v>6.6449999999999996</v>
      </c>
      <c r="Y99" s="38">
        <v>6.23</v>
      </c>
      <c r="Z99" s="38">
        <f t="shared" si="96"/>
        <v>6.1877548890457357</v>
      </c>
      <c r="AA99" s="41"/>
      <c r="AB99" s="53"/>
      <c r="AC99" s="42">
        <v>0.74</v>
      </c>
      <c r="AD99" s="43">
        <v>1.24</v>
      </c>
      <c r="AF99" s="115"/>
      <c r="AG99" s="143"/>
      <c r="AH99" s="117"/>
      <c r="AI99" s="113"/>
      <c r="AJ99" s="147"/>
      <c r="AK99" s="147"/>
      <c r="AL99" s="147"/>
      <c r="AM99" s="147"/>
      <c r="AN99" s="112"/>
      <c r="AO99" s="112"/>
      <c r="AP99" s="108"/>
      <c r="AQ99" s="45"/>
      <c r="AR99" s="46"/>
      <c r="AS99" s="46"/>
      <c r="AT99" s="46"/>
      <c r="AU99" s="46"/>
      <c r="AV99" s="47"/>
      <c r="AW99" s="46"/>
      <c r="AX99" s="46"/>
      <c r="AY99" s="48"/>
    </row>
    <row r="100" spans="1:51" customFormat="1" ht="14.25" customHeight="1" x14ac:dyDescent="0.45">
      <c r="A100" s="26">
        <v>2024</v>
      </c>
      <c r="B100" s="27">
        <v>11</v>
      </c>
      <c r="C100" s="27">
        <v>30</v>
      </c>
      <c r="D100" s="28">
        <v>0.51527777777777772</v>
      </c>
      <c r="E100" s="29">
        <v>33</v>
      </c>
      <c r="F100" s="30">
        <v>13.279680000000001</v>
      </c>
      <c r="G100" s="31">
        <v>100.53270000000001</v>
      </c>
      <c r="H100" s="32">
        <v>16</v>
      </c>
      <c r="I100" s="27">
        <v>3</v>
      </c>
      <c r="J100" s="33" t="s">
        <v>47</v>
      </c>
      <c r="K100" s="32">
        <v>1</v>
      </c>
      <c r="L100" s="34">
        <v>5</v>
      </c>
      <c r="M100" s="35" t="s">
        <v>48</v>
      </c>
      <c r="N100" s="36">
        <v>2.8</v>
      </c>
      <c r="O100" s="37">
        <v>28.2</v>
      </c>
      <c r="P100" s="38">
        <v>29.038</v>
      </c>
      <c r="Q100" s="51">
        <v>29.05</v>
      </c>
      <c r="R100" s="38">
        <v>7.96</v>
      </c>
      <c r="S100" s="38">
        <v>8.17</v>
      </c>
      <c r="T100" s="37">
        <v>29</v>
      </c>
      <c r="U100" s="38">
        <v>31.940999999999999</v>
      </c>
      <c r="V100" s="52">
        <v>31.81</v>
      </c>
      <c r="W100" s="38">
        <v>6.44</v>
      </c>
      <c r="X100" s="38">
        <v>7.3369999999999997</v>
      </c>
      <c r="Y100" s="38">
        <v>6.4</v>
      </c>
      <c r="Z100" s="38">
        <f t="shared" si="96"/>
        <v>6.3214307107211294</v>
      </c>
      <c r="AA100" s="41">
        <v>6.75</v>
      </c>
      <c r="AB100" s="53">
        <v>1.0496000000000001</v>
      </c>
      <c r="AC100" s="42">
        <v>0.37</v>
      </c>
      <c r="AD100" s="43">
        <v>0.53</v>
      </c>
      <c r="AE100" s="44" t="s">
        <v>49</v>
      </c>
      <c r="AF100" s="115"/>
      <c r="AG100" s="143"/>
      <c r="AH100" s="117"/>
      <c r="AI100" s="113"/>
      <c r="AJ100" s="147"/>
      <c r="AK100" s="147"/>
      <c r="AL100" s="147"/>
      <c r="AM100" s="147"/>
      <c r="AN100" s="112"/>
      <c r="AO100" s="112"/>
      <c r="AP100" s="108"/>
      <c r="AQ100" s="45">
        <v>9.4600000000000004E-2</v>
      </c>
      <c r="AR100" s="46">
        <v>7.2609000000000004</v>
      </c>
      <c r="AS100" s="46">
        <v>0.2326</v>
      </c>
      <c r="AT100" s="46">
        <v>4.3155000000000001</v>
      </c>
      <c r="AU100" s="46">
        <v>1.4992000000000001</v>
      </c>
      <c r="AV100" s="47">
        <v>123.7514</v>
      </c>
      <c r="AW100" s="46"/>
      <c r="AX100" s="46"/>
      <c r="AY100" s="48" t="s">
        <v>76</v>
      </c>
    </row>
    <row r="101" spans="1:51" customFormat="1" ht="14.25" customHeight="1" x14ac:dyDescent="0.45">
      <c r="A101" s="26">
        <f t="shared" ref="A101:I101" si="107">A100</f>
        <v>2024</v>
      </c>
      <c r="B101" s="27">
        <f t="shared" si="107"/>
        <v>11</v>
      </c>
      <c r="C101" s="27">
        <f t="shared" si="107"/>
        <v>30</v>
      </c>
      <c r="D101" s="28">
        <f t="shared" si="107"/>
        <v>0.51527777777777772</v>
      </c>
      <c r="E101" s="29">
        <f t="shared" si="107"/>
        <v>33</v>
      </c>
      <c r="F101" s="49">
        <f t="shared" si="107"/>
        <v>13.279680000000001</v>
      </c>
      <c r="G101" s="31">
        <f t="shared" si="107"/>
        <v>100.53270000000001</v>
      </c>
      <c r="H101" s="32">
        <f t="shared" si="107"/>
        <v>16</v>
      </c>
      <c r="I101" s="27">
        <f t="shared" si="107"/>
        <v>3</v>
      </c>
      <c r="J101" s="33" t="s">
        <v>51</v>
      </c>
      <c r="K101" s="32">
        <v>8</v>
      </c>
      <c r="L101" s="34"/>
      <c r="M101" s="35"/>
      <c r="N101" s="50">
        <f t="shared" ref="N101:N102" si="108">N100</f>
        <v>2.8</v>
      </c>
      <c r="O101" s="37">
        <v>28.2</v>
      </c>
      <c r="P101" s="38">
        <v>29.013000000000002</v>
      </c>
      <c r="Q101" s="51">
        <v>29.01</v>
      </c>
      <c r="R101" s="38">
        <v>7.94</v>
      </c>
      <c r="S101" s="38">
        <v>8.17</v>
      </c>
      <c r="T101" s="37">
        <v>29.1</v>
      </c>
      <c r="U101" s="38">
        <v>31.975999999999999</v>
      </c>
      <c r="V101" s="52">
        <v>31.81</v>
      </c>
      <c r="W101" s="38">
        <v>6.56</v>
      </c>
      <c r="X101" s="38">
        <v>7.008</v>
      </c>
      <c r="Y101" s="38">
        <v>6.41</v>
      </c>
      <c r="Z101" s="38">
        <f t="shared" si="96"/>
        <v>6.3292939943490936</v>
      </c>
      <c r="AA101" s="41">
        <v>5.95</v>
      </c>
      <c r="AB101" s="53"/>
      <c r="AC101" s="42">
        <v>0.65</v>
      </c>
      <c r="AD101" s="43">
        <v>0.9</v>
      </c>
      <c r="AF101" s="115"/>
      <c r="AG101" s="143"/>
      <c r="AH101" s="117"/>
      <c r="AI101" s="113"/>
      <c r="AJ101" s="147"/>
      <c r="AK101" s="147"/>
      <c r="AL101" s="147"/>
      <c r="AM101" s="147"/>
      <c r="AN101" s="112"/>
      <c r="AO101" s="112"/>
      <c r="AP101" s="108"/>
      <c r="AQ101" s="45">
        <v>0.1429</v>
      </c>
      <c r="AR101" s="46">
        <v>7.2609000000000004</v>
      </c>
      <c r="AS101" s="46">
        <v>0.2326</v>
      </c>
      <c r="AT101" s="46">
        <v>4.4054000000000002</v>
      </c>
      <c r="AU101" s="46">
        <v>1.6011</v>
      </c>
      <c r="AV101" s="47">
        <v>128.79220000000001</v>
      </c>
      <c r="AW101" s="46"/>
      <c r="AX101" s="46"/>
      <c r="AY101" s="48"/>
    </row>
    <row r="102" spans="1:51" customFormat="1" ht="14.25" customHeight="1" x14ac:dyDescent="0.45">
      <c r="A102" s="26">
        <f t="shared" ref="A102:I102" si="109">A101</f>
        <v>2024</v>
      </c>
      <c r="B102" s="27">
        <f t="shared" si="109"/>
        <v>11</v>
      </c>
      <c r="C102" s="27">
        <f t="shared" si="109"/>
        <v>30</v>
      </c>
      <c r="D102" s="28">
        <f t="shared" si="109"/>
        <v>0.51527777777777772</v>
      </c>
      <c r="E102" s="29">
        <f t="shared" si="109"/>
        <v>33</v>
      </c>
      <c r="F102" s="49">
        <f t="shared" si="109"/>
        <v>13.279680000000001</v>
      </c>
      <c r="G102" s="31">
        <f t="shared" si="109"/>
        <v>100.53270000000001</v>
      </c>
      <c r="H102" s="32">
        <f t="shared" si="109"/>
        <v>16</v>
      </c>
      <c r="I102" s="27">
        <f t="shared" si="109"/>
        <v>3</v>
      </c>
      <c r="J102" s="33" t="s">
        <v>52</v>
      </c>
      <c r="K102" s="32">
        <v>15</v>
      </c>
      <c r="L102" s="34"/>
      <c r="M102" s="35"/>
      <c r="N102" s="50">
        <f t="shared" si="108"/>
        <v>2.8</v>
      </c>
      <c r="O102" s="37">
        <v>28.3</v>
      </c>
      <c r="P102" s="38">
        <v>28.988</v>
      </c>
      <c r="Q102" s="51">
        <v>28.99</v>
      </c>
      <c r="R102" s="38">
        <v>7.93</v>
      </c>
      <c r="S102" s="38">
        <v>8.17</v>
      </c>
      <c r="T102" s="37">
        <v>28.9</v>
      </c>
      <c r="U102" s="38">
        <v>32.021999999999998</v>
      </c>
      <c r="V102" s="52">
        <v>31.81</v>
      </c>
      <c r="W102" s="38">
        <v>6.77</v>
      </c>
      <c r="X102" s="38">
        <v>6.8449999999999998</v>
      </c>
      <c r="Y102" s="38">
        <v>6.31</v>
      </c>
      <c r="Z102" s="38">
        <f t="shared" si="96"/>
        <v>6.25066115806945</v>
      </c>
      <c r="AA102" s="41">
        <v>4.9000000000000004</v>
      </c>
      <c r="AB102" s="53"/>
      <c r="AC102" s="42">
        <v>0.7</v>
      </c>
      <c r="AD102" s="43">
        <v>1.03</v>
      </c>
      <c r="AF102" s="115"/>
      <c r="AG102" s="143"/>
      <c r="AH102" s="117"/>
      <c r="AI102" s="113"/>
      <c r="AJ102" s="147"/>
      <c r="AK102" s="147"/>
      <c r="AL102" s="147"/>
      <c r="AM102" s="147"/>
      <c r="AN102" s="112"/>
      <c r="AO102" s="112"/>
      <c r="AP102" s="108"/>
      <c r="AQ102" s="45">
        <v>0.1429</v>
      </c>
      <c r="AR102" s="46">
        <v>7.7866999999999997</v>
      </c>
      <c r="AS102" s="46">
        <v>0.2097</v>
      </c>
      <c r="AT102" s="46">
        <v>2.7871000000000001</v>
      </c>
      <c r="AU102" s="46">
        <v>1.1400999999999999</v>
      </c>
      <c r="AV102" s="47">
        <v>197.35679999999999</v>
      </c>
      <c r="AW102" s="46"/>
      <c r="AX102" s="46"/>
      <c r="AY102" s="48"/>
    </row>
    <row r="103" spans="1:51" customFormat="1" ht="14.25" customHeight="1" x14ac:dyDescent="0.45">
      <c r="A103" s="26">
        <v>2024</v>
      </c>
      <c r="B103" s="27">
        <v>12</v>
      </c>
      <c r="C103" s="27">
        <v>1</v>
      </c>
      <c r="D103" s="28">
        <v>0.29166666666666669</v>
      </c>
      <c r="E103" s="29" t="s">
        <v>77</v>
      </c>
      <c r="F103" s="30">
        <v>13.322150000000001</v>
      </c>
      <c r="G103" s="31">
        <v>100.34038</v>
      </c>
      <c r="H103" s="32">
        <v>12.2</v>
      </c>
      <c r="I103" s="27">
        <v>3</v>
      </c>
      <c r="J103" s="33" t="s">
        <v>47</v>
      </c>
      <c r="K103" s="32">
        <v>1</v>
      </c>
      <c r="L103" s="34">
        <v>7</v>
      </c>
      <c r="M103" s="35" t="s">
        <v>71</v>
      </c>
      <c r="N103" s="36">
        <v>1.8</v>
      </c>
      <c r="O103" s="37">
        <v>27.5</v>
      </c>
      <c r="P103" s="38">
        <v>27.992999999999999</v>
      </c>
      <c r="Q103" s="51">
        <v>28</v>
      </c>
      <c r="R103" s="38">
        <v>7.73</v>
      </c>
      <c r="S103" s="38">
        <v>8.18</v>
      </c>
      <c r="T103" s="37">
        <v>27</v>
      </c>
      <c r="U103" s="38">
        <v>29.928999999999998</v>
      </c>
      <c r="V103" s="52">
        <v>29.88</v>
      </c>
      <c r="W103" s="38"/>
      <c r="X103" s="38">
        <v>7.5220000000000002</v>
      </c>
      <c r="Y103" s="38">
        <v>7.38</v>
      </c>
      <c r="Z103" s="38">
        <f t="shared" si="96"/>
        <v>7.0920325062616358</v>
      </c>
      <c r="AA103" s="41"/>
      <c r="AB103" s="53"/>
      <c r="AC103" s="42">
        <v>10.75</v>
      </c>
      <c r="AD103" s="43">
        <v>14.51</v>
      </c>
      <c r="AF103" s="115"/>
      <c r="AG103" s="143"/>
      <c r="AH103" s="117"/>
      <c r="AI103" s="113"/>
      <c r="AJ103" s="147"/>
      <c r="AK103" s="147"/>
      <c r="AL103" s="147"/>
      <c r="AM103" s="147"/>
      <c r="AN103" s="112"/>
      <c r="AO103" s="112"/>
      <c r="AP103" s="108"/>
      <c r="AQ103" s="45"/>
      <c r="AR103" s="46"/>
      <c r="AS103" s="46"/>
      <c r="AT103" s="46"/>
      <c r="AU103" s="46"/>
      <c r="AV103" s="47"/>
      <c r="AW103" s="46"/>
      <c r="AX103" s="46"/>
      <c r="AY103" s="48" t="s">
        <v>78</v>
      </c>
    </row>
    <row r="104" spans="1:51" customFormat="1" ht="14.25" customHeight="1" x14ac:dyDescent="0.45">
      <c r="A104" s="26">
        <f t="shared" ref="A104:I104" si="110">A103</f>
        <v>2024</v>
      </c>
      <c r="B104" s="27">
        <f t="shared" si="110"/>
        <v>12</v>
      </c>
      <c r="C104" s="27">
        <f t="shared" si="110"/>
        <v>1</v>
      </c>
      <c r="D104" s="28">
        <f t="shared" si="110"/>
        <v>0.29166666666666669</v>
      </c>
      <c r="E104" s="29" t="str">
        <f t="shared" si="110"/>
        <v>C12</v>
      </c>
      <c r="F104" s="49">
        <f t="shared" si="110"/>
        <v>13.322150000000001</v>
      </c>
      <c r="G104" s="31">
        <f t="shared" si="110"/>
        <v>100.34038</v>
      </c>
      <c r="H104" s="32">
        <f t="shared" si="110"/>
        <v>12.2</v>
      </c>
      <c r="I104" s="27">
        <f t="shared" si="110"/>
        <v>3</v>
      </c>
      <c r="J104" s="33" t="s">
        <v>51</v>
      </c>
      <c r="K104" s="32">
        <v>6</v>
      </c>
      <c r="L104" s="34"/>
      <c r="M104" s="35"/>
      <c r="N104" s="50">
        <f t="shared" ref="N104:N105" si="111">N103</f>
        <v>1.8</v>
      </c>
      <c r="O104" s="37">
        <v>27.5</v>
      </c>
      <c r="P104" s="38">
        <v>28.042000000000002</v>
      </c>
      <c r="Q104" s="51">
        <v>28.05</v>
      </c>
      <c r="R104" s="38">
        <v>7.78</v>
      </c>
      <c r="S104" s="38">
        <v>8.19</v>
      </c>
      <c r="T104" s="37">
        <v>27.4</v>
      </c>
      <c r="U104" s="38">
        <v>30.042999999999999</v>
      </c>
      <c r="V104" s="52">
        <v>29.98</v>
      </c>
      <c r="W104" s="38"/>
      <c r="X104" s="38">
        <v>7.1779999999999999</v>
      </c>
      <c r="Y104" s="38">
        <v>7.32</v>
      </c>
      <c r="Z104" s="38">
        <f t="shared" si="96"/>
        <v>7.0448528044938508</v>
      </c>
      <c r="AA104" s="41"/>
      <c r="AB104" s="53"/>
      <c r="AC104" s="42">
        <v>12.52</v>
      </c>
      <c r="AD104" s="43">
        <v>14.88</v>
      </c>
      <c r="AF104" s="115"/>
      <c r="AG104" s="143"/>
      <c r="AH104" s="117"/>
      <c r="AI104" s="113"/>
      <c r="AJ104" s="147"/>
      <c r="AK104" s="147"/>
      <c r="AL104" s="147"/>
      <c r="AM104" s="147"/>
      <c r="AN104" s="112"/>
      <c r="AO104" s="112"/>
      <c r="AP104" s="108"/>
      <c r="AQ104" s="45"/>
      <c r="AR104" s="46"/>
      <c r="AS104" s="46"/>
      <c r="AT104" s="46"/>
      <c r="AU104" s="46"/>
      <c r="AV104" s="47"/>
      <c r="AW104" s="46"/>
      <c r="AX104" s="46"/>
      <c r="AY104" s="48"/>
    </row>
    <row r="105" spans="1:51" customFormat="1" ht="14.25" customHeight="1" x14ac:dyDescent="0.45">
      <c r="A105" s="26">
        <f t="shared" ref="A105:I105" si="112">A104</f>
        <v>2024</v>
      </c>
      <c r="B105" s="27">
        <f t="shared" si="112"/>
        <v>12</v>
      </c>
      <c r="C105" s="27">
        <f t="shared" si="112"/>
        <v>1</v>
      </c>
      <c r="D105" s="28">
        <f t="shared" si="112"/>
        <v>0.29166666666666669</v>
      </c>
      <c r="E105" s="29" t="str">
        <f t="shared" si="112"/>
        <v>C12</v>
      </c>
      <c r="F105" s="49">
        <f t="shared" si="112"/>
        <v>13.322150000000001</v>
      </c>
      <c r="G105" s="31">
        <f t="shared" si="112"/>
        <v>100.34038</v>
      </c>
      <c r="H105" s="32">
        <f t="shared" si="112"/>
        <v>12.2</v>
      </c>
      <c r="I105" s="27">
        <f t="shared" si="112"/>
        <v>3</v>
      </c>
      <c r="J105" s="33" t="s">
        <v>52</v>
      </c>
      <c r="K105" s="32">
        <v>11</v>
      </c>
      <c r="L105" s="34"/>
      <c r="M105" s="35"/>
      <c r="N105" s="50">
        <f t="shared" si="111"/>
        <v>1.8</v>
      </c>
      <c r="O105" s="37">
        <v>28.1</v>
      </c>
      <c r="P105" s="38">
        <v>28.646000000000001</v>
      </c>
      <c r="Q105" s="51">
        <v>28.64</v>
      </c>
      <c r="R105" s="38">
        <v>7.71</v>
      </c>
      <c r="S105" s="38">
        <v>8.1199999999999992</v>
      </c>
      <c r="T105" s="37">
        <v>27.8</v>
      </c>
      <c r="U105" s="38">
        <v>31.670999999999999</v>
      </c>
      <c r="V105" s="52">
        <v>31.45</v>
      </c>
      <c r="W105" s="38"/>
      <c r="X105" s="38">
        <v>5.5209999999999999</v>
      </c>
      <c r="Y105" s="38">
        <v>5.68</v>
      </c>
      <c r="Z105" s="38">
        <f t="shared" si="96"/>
        <v>5.7552742895076952</v>
      </c>
      <c r="AA105" s="41"/>
      <c r="AB105" s="53"/>
      <c r="AC105" s="42">
        <v>1.31</v>
      </c>
      <c r="AD105" s="43">
        <v>2.82</v>
      </c>
      <c r="AF105" s="115"/>
      <c r="AG105" s="143"/>
      <c r="AH105" s="117"/>
      <c r="AI105" s="113"/>
      <c r="AJ105" s="147"/>
      <c r="AK105" s="147"/>
      <c r="AL105" s="147"/>
      <c r="AM105" s="147"/>
      <c r="AN105" s="112"/>
      <c r="AO105" s="112"/>
      <c r="AP105" s="108"/>
      <c r="AQ105" s="45"/>
      <c r="AR105" s="46"/>
      <c r="AS105" s="46"/>
      <c r="AT105" s="46"/>
      <c r="AU105" s="46"/>
      <c r="AV105" s="47"/>
      <c r="AW105" s="46"/>
      <c r="AX105" s="46"/>
      <c r="AY105" s="48"/>
    </row>
    <row r="106" spans="1:51" customFormat="1" ht="14.25" customHeight="1" x14ac:dyDescent="0.45">
      <c r="A106" s="26">
        <v>2024</v>
      </c>
      <c r="B106" s="27">
        <v>12</v>
      </c>
      <c r="C106" s="27">
        <v>1</v>
      </c>
      <c r="D106" s="28">
        <v>0.3298611111111111</v>
      </c>
      <c r="E106" s="29">
        <v>19</v>
      </c>
      <c r="F106" s="30">
        <v>13.369059999999999</v>
      </c>
      <c r="G106" s="31">
        <v>100.29259</v>
      </c>
      <c r="H106" s="32">
        <v>9.8000000000000007</v>
      </c>
      <c r="I106" s="27">
        <v>3</v>
      </c>
      <c r="J106" s="33" t="s">
        <v>47</v>
      </c>
      <c r="K106" s="32">
        <v>1</v>
      </c>
      <c r="L106" s="34">
        <v>9</v>
      </c>
      <c r="M106" s="35" t="s">
        <v>71</v>
      </c>
      <c r="N106" s="36">
        <v>1.8</v>
      </c>
      <c r="O106" s="37">
        <v>27</v>
      </c>
      <c r="P106" s="38">
        <v>27.646999999999998</v>
      </c>
      <c r="Q106" s="51">
        <v>27.66</v>
      </c>
      <c r="R106" s="38">
        <v>7.79</v>
      </c>
      <c r="S106" s="38">
        <v>8.0500000000000007</v>
      </c>
      <c r="T106" s="37">
        <v>25.6</v>
      </c>
      <c r="U106" s="38">
        <v>27.873000000000001</v>
      </c>
      <c r="V106" s="52">
        <v>27.89</v>
      </c>
      <c r="W106" s="38">
        <v>6.58</v>
      </c>
      <c r="X106" s="38">
        <v>5.9589999999999996</v>
      </c>
      <c r="Y106" s="38">
        <v>5.93</v>
      </c>
      <c r="Z106" s="38">
        <f t="shared" si="96"/>
        <v>5.9518563802068041</v>
      </c>
      <c r="AA106" s="41">
        <v>7.55</v>
      </c>
      <c r="AB106" s="53">
        <v>7.1403999999999996</v>
      </c>
      <c r="AC106" s="42">
        <v>8.67</v>
      </c>
      <c r="AD106" s="43">
        <v>9.11</v>
      </c>
      <c r="AF106" s="115"/>
      <c r="AG106" s="143"/>
      <c r="AH106" s="117"/>
      <c r="AI106" s="113"/>
      <c r="AJ106" s="147"/>
      <c r="AK106" s="147"/>
      <c r="AL106" s="147"/>
      <c r="AM106" s="147"/>
      <c r="AN106" s="112"/>
      <c r="AO106" s="112"/>
      <c r="AP106" s="108"/>
      <c r="AQ106" s="45">
        <v>1.5921000000000001</v>
      </c>
      <c r="AR106" s="46">
        <v>37.54</v>
      </c>
      <c r="AS106" s="46">
        <v>2.2004000000000001</v>
      </c>
      <c r="AT106" s="46">
        <v>1.2586999999999999</v>
      </c>
      <c r="AU106" s="46">
        <v>1.6195999999999999</v>
      </c>
      <c r="AV106" s="47">
        <v>308.13389999999998</v>
      </c>
      <c r="AW106" s="46"/>
      <c r="AX106" s="46"/>
      <c r="AY106" s="48" t="s">
        <v>79</v>
      </c>
    </row>
    <row r="107" spans="1:51" customFormat="1" ht="14.25" customHeight="1" x14ac:dyDescent="0.45">
      <c r="A107" s="26">
        <f t="shared" ref="A107:I107" si="113">A106</f>
        <v>2024</v>
      </c>
      <c r="B107" s="27">
        <f t="shared" si="113"/>
        <v>12</v>
      </c>
      <c r="C107" s="27">
        <f t="shared" si="113"/>
        <v>1</v>
      </c>
      <c r="D107" s="28">
        <f t="shared" si="113"/>
        <v>0.3298611111111111</v>
      </c>
      <c r="E107" s="29">
        <f t="shared" si="113"/>
        <v>19</v>
      </c>
      <c r="F107" s="49">
        <f t="shared" si="113"/>
        <v>13.369059999999999</v>
      </c>
      <c r="G107" s="31">
        <f t="shared" si="113"/>
        <v>100.29259</v>
      </c>
      <c r="H107" s="32">
        <f t="shared" si="113"/>
        <v>9.8000000000000007</v>
      </c>
      <c r="I107" s="27">
        <f t="shared" si="113"/>
        <v>3</v>
      </c>
      <c r="J107" s="33" t="s">
        <v>51</v>
      </c>
      <c r="K107" s="32">
        <v>4</v>
      </c>
      <c r="L107" s="34"/>
      <c r="M107" s="35"/>
      <c r="N107" s="50">
        <f t="shared" ref="N107:N108" si="114">N106</f>
        <v>1.8</v>
      </c>
      <c r="O107" s="37">
        <v>27.2</v>
      </c>
      <c r="P107" s="38">
        <v>27.994</v>
      </c>
      <c r="Q107" s="51">
        <v>28.01</v>
      </c>
      <c r="R107" s="38">
        <v>7.79</v>
      </c>
      <c r="S107" s="38">
        <v>8.0399999999999991</v>
      </c>
      <c r="T107" s="37">
        <v>25.8</v>
      </c>
      <c r="U107" s="38">
        <v>28.893000000000001</v>
      </c>
      <c r="V107" s="52">
        <v>28.86</v>
      </c>
      <c r="W107" s="38">
        <v>6.09</v>
      </c>
      <c r="X107" s="38">
        <v>5.6909999999999998</v>
      </c>
      <c r="Y107" s="38">
        <v>5.69</v>
      </c>
      <c r="Z107" s="38">
        <f t="shared" si="96"/>
        <v>5.7631375731356602</v>
      </c>
      <c r="AA107" s="41">
        <v>7.75</v>
      </c>
      <c r="AB107" s="53"/>
      <c r="AC107" s="42">
        <v>5.53</v>
      </c>
      <c r="AD107" s="43">
        <v>6.8</v>
      </c>
      <c r="AF107" s="115"/>
      <c r="AG107" s="143"/>
      <c r="AH107" s="117"/>
      <c r="AI107" s="113"/>
      <c r="AJ107" s="147"/>
      <c r="AK107" s="147"/>
      <c r="AL107" s="147"/>
      <c r="AM107" s="147"/>
      <c r="AN107" s="112"/>
      <c r="AO107" s="112"/>
      <c r="AP107" s="108"/>
      <c r="AQ107" s="45">
        <v>1.6887000000000001</v>
      </c>
      <c r="AR107" s="46">
        <v>33.640099999999997</v>
      </c>
      <c r="AS107" s="46">
        <v>0.53</v>
      </c>
      <c r="AT107" s="46">
        <v>1.6183000000000001</v>
      </c>
      <c r="AU107" s="46">
        <v>4.9707999999999997</v>
      </c>
      <c r="AV107" s="47">
        <v>265.98649999999998</v>
      </c>
      <c r="AW107" s="46"/>
      <c r="AX107" s="46"/>
      <c r="AY107" s="48"/>
    </row>
    <row r="108" spans="1:51" customFormat="1" ht="14.25" customHeight="1" x14ac:dyDescent="0.45">
      <c r="A108" s="26">
        <f t="shared" ref="A108:I108" si="115">A107</f>
        <v>2024</v>
      </c>
      <c r="B108" s="27">
        <f t="shared" si="115"/>
        <v>12</v>
      </c>
      <c r="C108" s="27">
        <f t="shared" si="115"/>
        <v>1</v>
      </c>
      <c r="D108" s="28">
        <f t="shared" si="115"/>
        <v>0.3298611111111111</v>
      </c>
      <c r="E108" s="29">
        <f t="shared" si="115"/>
        <v>19</v>
      </c>
      <c r="F108" s="49">
        <f t="shared" si="115"/>
        <v>13.369059999999999</v>
      </c>
      <c r="G108" s="31">
        <f t="shared" si="115"/>
        <v>100.29259</v>
      </c>
      <c r="H108" s="32">
        <f t="shared" si="115"/>
        <v>9.8000000000000007</v>
      </c>
      <c r="I108" s="27">
        <f t="shared" si="115"/>
        <v>3</v>
      </c>
      <c r="J108" s="33" t="s">
        <v>52</v>
      </c>
      <c r="K108" s="32">
        <v>8</v>
      </c>
      <c r="L108" s="34"/>
      <c r="M108" s="35"/>
      <c r="N108" s="50">
        <f t="shared" si="114"/>
        <v>1.8</v>
      </c>
      <c r="O108" s="37">
        <v>27.3</v>
      </c>
      <c r="P108" s="38">
        <v>28.776</v>
      </c>
      <c r="Q108" s="51">
        <v>28.95</v>
      </c>
      <c r="R108" s="38">
        <v>7.74</v>
      </c>
      <c r="S108" s="38">
        <v>7.93</v>
      </c>
      <c r="T108" s="37">
        <v>26.3</v>
      </c>
      <c r="U108" s="38">
        <v>30.157</v>
      </c>
      <c r="V108" s="52">
        <v>30.17</v>
      </c>
      <c r="W108" s="38">
        <v>5.81</v>
      </c>
      <c r="X108" s="38">
        <v>4.8719999999999999</v>
      </c>
      <c r="Y108" s="38">
        <v>3.93</v>
      </c>
      <c r="Z108" s="38">
        <f t="shared" si="96"/>
        <v>4.3791996546139327</v>
      </c>
      <c r="AA108" s="41">
        <v>8.75</v>
      </c>
      <c r="AB108" s="53"/>
      <c r="AC108" s="42">
        <v>1.92</v>
      </c>
      <c r="AD108" s="43">
        <v>2.4500000000000002</v>
      </c>
      <c r="AF108" s="115"/>
      <c r="AG108" s="143"/>
      <c r="AH108" s="117"/>
      <c r="AI108" s="113"/>
      <c r="AJ108" s="147"/>
      <c r="AK108" s="147"/>
      <c r="AL108" s="147"/>
      <c r="AM108" s="147"/>
      <c r="AN108" s="112"/>
      <c r="AO108" s="112"/>
      <c r="AP108" s="108"/>
      <c r="AQ108" s="45">
        <v>1.4955000000000001</v>
      </c>
      <c r="AR108" s="46">
        <v>32.5884</v>
      </c>
      <c r="AS108" s="46">
        <v>0.3241</v>
      </c>
      <c r="AT108" s="46">
        <v>1.5284</v>
      </c>
      <c r="AU108" s="46">
        <v>4.5655000000000001</v>
      </c>
      <c r="AV108" s="47">
        <v>269.3734</v>
      </c>
      <c r="AW108" s="46"/>
      <c r="AX108" s="46"/>
      <c r="AY108" s="48"/>
    </row>
    <row r="109" spans="1:51" customFormat="1" ht="14.25" customHeight="1" x14ac:dyDescent="0.45">
      <c r="A109" s="26">
        <v>2024</v>
      </c>
      <c r="B109" s="27">
        <v>12</v>
      </c>
      <c r="C109" s="27">
        <v>1</v>
      </c>
      <c r="D109" s="28">
        <v>0.3576388888888889</v>
      </c>
      <c r="E109" s="29">
        <v>18</v>
      </c>
      <c r="F109" s="30">
        <v>13.325060000000001</v>
      </c>
      <c r="G109" s="31">
        <v>100.26962</v>
      </c>
      <c r="H109" s="32">
        <v>11.5</v>
      </c>
      <c r="I109" s="27">
        <v>3</v>
      </c>
      <c r="J109" s="33" t="s">
        <v>47</v>
      </c>
      <c r="K109" s="32">
        <v>1</v>
      </c>
      <c r="L109" s="34">
        <v>7</v>
      </c>
      <c r="M109" s="35" t="s">
        <v>71</v>
      </c>
      <c r="N109" s="36">
        <v>2</v>
      </c>
      <c r="O109" s="37">
        <v>27.5</v>
      </c>
      <c r="P109" s="38">
        <v>28.152000000000001</v>
      </c>
      <c r="Q109" s="51">
        <v>28.15</v>
      </c>
      <c r="R109" s="38">
        <v>7.85</v>
      </c>
      <c r="S109" s="38">
        <v>8.1</v>
      </c>
      <c r="T109" s="37">
        <v>26.9</v>
      </c>
      <c r="U109" s="38">
        <v>29.414000000000001</v>
      </c>
      <c r="V109" s="52">
        <v>29.37</v>
      </c>
      <c r="W109" s="38">
        <v>6.34</v>
      </c>
      <c r="X109" s="38">
        <v>6.6109999999999998</v>
      </c>
      <c r="Y109" s="38">
        <v>6.25</v>
      </c>
      <c r="Z109" s="38">
        <f t="shared" si="96"/>
        <v>6.203481456301664</v>
      </c>
      <c r="AA109" s="41">
        <v>9.25</v>
      </c>
      <c r="AB109" s="53">
        <v>7.7657999999999996</v>
      </c>
      <c r="AC109" s="42">
        <v>6.47</v>
      </c>
      <c r="AD109" s="43">
        <v>7.49</v>
      </c>
      <c r="AE109" s="44" t="s">
        <v>49</v>
      </c>
      <c r="AF109" s="120" t="s">
        <v>49</v>
      </c>
      <c r="AG109" s="143"/>
      <c r="AH109" s="117"/>
      <c r="AI109" s="113"/>
      <c r="AJ109" s="147"/>
      <c r="AK109" s="147"/>
      <c r="AL109" s="147"/>
      <c r="AM109" s="147"/>
      <c r="AN109" s="112"/>
      <c r="AO109" s="112"/>
      <c r="AP109" s="108"/>
      <c r="AQ109" s="45">
        <v>1.1091</v>
      </c>
      <c r="AR109" s="46">
        <v>21.8965</v>
      </c>
      <c r="AS109" s="46">
        <v>1.6283000000000001</v>
      </c>
      <c r="AT109" s="46">
        <v>0.71919999999999995</v>
      </c>
      <c r="AU109" s="46">
        <v>1.4277</v>
      </c>
      <c r="AV109" s="47">
        <v>202.89080000000001</v>
      </c>
      <c r="AW109" s="46"/>
      <c r="AX109" s="46"/>
      <c r="AY109" s="48" t="s">
        <v>78</v>
      </c>
    </row>
    <row r="110" spans="1:51" customFormat="1" ht="14.25" customHeight="1" x14ac:dyDescent="0.45">
      <c r="A110" s="26">
        <f t="shared" ref="A110:I110" si="116">A109</f>
        <v>2024</v>
      </c>
      <c r="B110" s="27">
        <f t="shared" si="116"/>
        <v>12</v>
      </c>
      <c r="C110" s="27">
        <f t="shared" si="116"/>
        <v>1</v>
      </c>
      <c r="D110" s="28">
        <f t="shared" si="116"/>
        <v>0.3576388888888889</v>
      </c>
      <c r="E110" s="29">
        <f t="shared" si="116"/>
        <v>18</v>
      </c>
      <c r="F110" s="49">
        <f t="shared" si="116"/>
        <v>13.325060000000001</v>
      </c>
      <c r="G110" s="31">
        <f t="shared" si="116"/>
        <v>100.26962</v>
      </c>
      <c r="H110" s="32">
        <f t="shared" si="116"/>
        <v>11.5</v>
      </c>
      <c r="I110" s="27">
        <f t="shared" si="116"/>
        <v>3</v>
      </c>
      <c r="J110" s="33" t="s">
        <v>51</v>
      </c>
      <c r="K110" s="32">
        <v>5</v>
      </c>
      <c r="L110" s="34"/>
      <c r="M110" s="35"/>
      <c r="N110" s="50">
        <f t="shared" ref="N110:N111" si="117">N109</f>
        <v>2</v>
      </c>
      <c r="O110" s="37">
        <v>27.4</v>
      </c>
      <c r="P110" s="38">
        <v>28.146000000000001</v>
      </c>
      <c r="Q110" s="51">
        <v>28.16</v>
      </c>
      <c r="R110" s="38">
        <v>7.86</v>
      </c>
      <c r="S110" s="38">
        <v>8.09</v>
      </c>
      <c r="T110" s="37">
        <v>26.9</v>
      </c>
      <c r="U110" s="38">
        <v>29.414000000000001</v>
      </c>
      <c r="V110" s="52">
        <v>29.37</v>
      </c>
      <c r="W110" s="38">
        <v>6.6</v>
      </c>
      <c r="X110" s="38">
        <v>6.4870000000000001</v>
      </c>
      <c r="Y110" s="38">
        <v>6.19</v>
      </c>
      <c r="Z110" s="38">
        <f t="shared" si="96"/>
        <v>6.1563017545338781</v>
      </c>
      <c r="AA110" s="41">
        <v>9.8000000000000007</v>
      </c>
      <c r="AB110" s="53"/>
      <c r="AC110" s="42">
        <v>7.74</v>
      </c>
      <c r="AD110" s="43">
        <v>8.6300000000000008</v>
      </c>
      <c r="AF110" s="115"/>
      <c r="AG110" s="143"/>
      <c r="AH110" s="117"/>
      <c r="AI110" s="113"/>
      <c r="AJ110" s="147"/>
      <c r="AK110" s="147"/>
      <c r="AL110" s="147"/>
      <c r="AM110" s="147"/>
      <c r="AN110" s="112"/>
      <c r="AO110" s="112"/>
      <c r="AP110" s="108"/>
      <c r="AQ110" s="45">
        <v>1.1574</v>
      </c>
      <c r="AR110" s="46">
        <v>23.6493</v>
      </c>
      <c r="AS110" s="46">
        <v>1.7199</v>
      </c>
      <c r="AT110" s="46">
        <v>1.0789</v>
      </c>
      <c r="AU110" s="46">
        <v>2.202</v>
      </c>
      <c r="AV110" s="47">
        <v>246.99930000000001</v>
      </c>
      <c r="AW110" s="46"/>
      <c r="AX110" s="46"/>
      <c r="AY110" s="48"/>
    </row>
    <row r="111" spans="1:51" customFormat="1" ht="14.25" customHeight="1" x14ac:dyDescent="0.45">
      <c r="A111" s="26">
        <f t="shared" ref="A111:I111" si="118">A110</f>
        <v>2024</v>
      </c>
      <c r="B111" s="27">
        <f t="shared" si="118"/>
        <v>12</v>
      </c>
      <c r="C111" s="27">
        <f t="shared" si="118"/>
        <v>1</v>
      </c>
      <c r="D111" s="28">
        <f t="shared" si="118"/>
        <v>0.3576388888888889</v>
      </c>
      <c r="E111" s="29">
        <f t="shared" si="118"/>
        <v>18</v>
      </c>
      <c r="F111" s="49">
        <f t="shared" si="118"/>
        <v>13.325060000000001</v>
      </c>
      <c r="G111" s="31">
        <f t="shared" si="118"/>
        <v>100.26962</v>
      </c>
      <c r="H111" s="32">
        <f t="shared" si="118"/>
        <v>11.5</v>
      </c>
      <c r="I111" s="27">
        <f t="shared" si="118"/>
        <v>3</v>
      </c>
      <c r="J111" s="33" t="s">
        <v>52</v>
      </c>
      <c r="K111" s="32">
        <v>10</v>
      </c>
      <c r="L111" s="34"/>
      <c r="M111" s="35"/>
      <c r="N111" s="50">
        <f t="shared" si="117"/>
        <v>2</v>
      </c>
      <c r="O111" s="37">
        <v>27.4</v>
      </c>
      <c r="P111" s="38">
        <v>29.140999999999998</v>
      </c>
      <c r="Q111" s="51">
        <v>29.15</v>
      </c>
      <c r="R111" s="38">
        <v>7.85</v>
      </c>
      <c r="S111" s="38">
        <v>8.0299999999999994</v>
      </c>
      <c r="T111" s="37">
        <v>27.1</v>
      </c>
      <c r="U111" s="38">
        <v>31.029</v>
      </c>
      <c r="V111" s="52">
        <v>30.94</v>
      </c>
      <c r="W111" s="38">
        <v>5.76</v>
      </c>
      <c r="X111" s="38">
        <v>5.0709999999999997</v>
      </c>
      <c r="Y111" s="38">
        <v>4.88</v>
      </c>
      <c r="Z111" s="38">
        <f t="shared" si="96"/>
        <v>5.1262115992705466</v>
      </c>
      <c r="AA111" s="41">
        <v>8.85</v>
      </c>
      <c r="AB111" s="53"/>
      <c r="AC111" s="42">
        <v>0.97</v>
      </c>
      <c r="AD111" s="43">
        <v>1.74</v>
      </c>
      <c r="AE111" s="59"/>
      <c r="AF111" s="121"/>
      <c r="AG111" s="143"/>
      <c r="AH111" s="117"/>
      <c r="AI111" s="113"/>
      <c r="AJ111" s="147"/>
      <c r="AK111" s="147"/>
      <c r="AL111" s="147"/>
      <c r="AM111" s="147"/>
      <c r="AN111" s="112"/>
      <c r="AO111" s="112"/>
      <c r="AP111" s="108"/>
      <c r="AQ111" s="45">
        <v>1.1574</v>
      </c>
      <c r="AR111" s="46">
        <v>27.7683</v>
      </c>
      <c r="AS111" s="46">
        <v>2.4750000000000001</v>
      </c>
      <c r="AT111" s="46">
        <v>1.5284</v>
      </c>
      <c r="AU111" s="46">
        <v>3.4843000000000002</v>
      </c>
      <c r="AV111" s="47">
        <v>235.07470000000001</v>
      </c>
      <c r="AW111" s="46"/>
      <c r="AX111" s="46"/>
      <c r="AY111" s="48"/>
    </row>
    <row r="112" spans="1:51" customFormat="1" ht="14.25" customHeight="1" x14ac:dyDescent="0.45">
      <c r="A112" s="26">
        <v>2024</v>
      </c>
      <c r="B112" s="27">
        <v>12</v>
      </c>
      <c r="C112" s="27">
        <v>1</v>
      </c>
      <c r="D112" s="28">
        <v>0.39583333333333331</v>
      </c>
      <c r="E112" s="29">
        <v>17</v>
      </c>
      <c r="F112" s="30">
        <v>13.28288</v>
      </c>
      <c r="G112" s="31">
        <v>100.26653</v>
      </c>
      <c r="H112" s="32">
        <v>13.8</v>
      </c>
      <c r="I112" s="27">
        <v>3</v>
      </c>
      <c r="J112" s="33" t="s">
        <v>47</v>
      </c>
      <c r="K112" s="32">
        <v>1</v>
      </c>
      <c r="L112" s="34">
        <v>6</v>
      </c>
      <c r="M112" s="35" t="s">
        <v>71</v>
      </c>
      <c r="N112" s="36">
        <v>2.8</v>
      </c>
      <c r="O112" s="37">
        <v>28.3</v>
      </c>
      <c r="P112" s="38">
        <v>28.376000000000001</v>
      </c>
      <c r="Q112" s="51">
        <v>28.38</v>
      </c>
      <c r="R112" s="38">
        <v>7.9</v>
      </c>
      <c r="S112" s="38">
        <v>8.1</v>
      </c>
      <c r="T112" s="37">
        <v>28.7</v>
      </c>
      <c r="U112" s="38">
        <v>29.992999999999999</v>
      </c>
      <c r="V112" s="52">
        <v>29.94</v>
      </c>
      <c r="W112" s="38"/>
      <c r="X112" s="38">
        <v>6.9</v>
      </c>
      <c r="Y112" s="38">
        <v>6.57</v>
      </c>
      <c r="Z112" s="38">
        <f t="shared" si="96"/>
        <v>6.4551065323965231</v>
      </c>
      <c r="AA112" s="41"/>
      <c r="AB112" s="53"/>
      <c r="AC112" s="42">
        <v>4.97</v>
      </c>
      <c r="AD112" s="43">
        <v>5.86</v>
      </c>
      <c r="AE112" s="44"/>
      <c r="AF112" s="120"/>
      <c r="AG112" s="143"/>
      <c r="AH112" s="117"/>
      <c r="AI112" s="113"/>
      <c r="AJ112" s="147"/>
      <c r="AK112" s="147"/>
      <c r="AL112" s="147"/>
      <c r="AM112" s="147"/>
      <c r="AN112" s="112"/>
      <c r="AO112" s="112"/>
      <c r="AP112" s="108"/>
      <c r="AQ112" s="45"/>
      <c r="AR112" s="46"/>
      <c r="AS112" s="46"/>
      <c r="AT112" s="46"/>
      <c r="AU112" s="46"/>
      <c r="AV112" s="47"/>
      <c r="AW112" s="46"/>
      <c r="AX112" s="46"/>
      <c r="AY112" s="48" t="s">
        <v>80</v>
      </c>
    </row>
    <row r="113" spans="1:51" customFormat="1" ht="14.25" customHeight="1" x14ac:dyDescent="0.45">
      <c r="A113" s="26">
        <f t="shared" ref="A113:I113" si="119">A112</f>
        <v>2024</v>
      </c>
      <c r="B113" s="27">
        <f t="shared" si="119"/>
        <v>12</v>
      </c>
      <c r="C113" s="27">
        <f t="shared" si="119"/>
        <v>1</v>
      </c>
      <c r="D113" s="28">
        <f t="shared" si="119"/>
        <v>0.39583333333333331</v>
      </c>
      <c r="E113" s="29">
        <f t="shared" si="119"/>
        <v>17</v>
      </c>
      <c r="F113" s="49">
        <f t="shared" si="119"/>
        <v>13.28288</v>
      </c>
      <c r="G113" s="31">
        <f t="shared" si="119"/>
        <v>100.26653</v>
      </c>
      <c r="H113" s="32">
        <f t="shared" si="119"/>
        <v>13.8</v>
      </c>
      <c r="I113" s="27">
        <f t="shared" si="119"/>
        <v>3</v>
      </c>
      <c r="J113" s="33" t="s">
        <v>51</v>
      </c>
      <c r="K113" s="32">
        <v>6</v>
      </c>
      <c r="L113" s="34"/>
      <c r="M113" s="35"/>
      <c r="N113" s="50">
        <f t="shared" ref="N113:N114" si="120">N112</f>
        <v>2.8</v>
      </c>
      <c r="O113" s="37">
        <v>27.7</v>
      </c>
      <c r="P113" s="38">
        <v>28.37</v>
      </c>
      <c r="Q113" s="51">
        <v>28.37</v>
      </c>
      <c r="R113" s="38">
        <v>7.9</v>
      </c>
      <c r="S113" s="38">
        <v>8.09</v>
      </c>
      <c r="T113" s="37">
        <v>27.5</v>
      </c>
      <c r="U113" s="38">
        <v>30.016999999999999</v>
      </c>
      <c r="V113" s="52">
        <v>29.95</v>
      </c>
      <c r="W113" s="38"/>
      <c r="X113" s="38">
        <v>6.5819999999999999</v>
      </c>
      <c r="Y113" s="38">
        <v>6.38</v>
      </c>
      <c r="Z113" s="38">
        <f t="shared" si="96"/>
        <v>6.3057041434652001</v>
      </c>
      <c r="AA113" s="41"/>
      <c r="AB113" s="53"/>
      <c r="AC113" s="42">
        <v>5.69</v>
      </c>
      <c r="AD113" s="43">
        <v>7.66</v>
      </c>
      <c r="AF113" s="115"/>
      <c r="AG113" s="143"/>
      <c r="AH113" s="117"/>
      <c r="AI113" s="113"/>
      <c r="AJ113" s="147"/>
      <c r="AK113" s="147"/>
      <c r="AL113" s="147"/>
      <c r="AM113" s="147"/>
      <c r="AN113" s="112"/>
      <c r="AO113" s="112"/>
      <c r="AP113" s="108"/>
      <c r="AQ113" s="45"/>
      <c r="AR113" s="46"/>
      <c r="AS113" s="46"/>
      <c r="AT113" s="46"/>
      <c r="AU113" s="46"/>
      <c r="AV113" s="47"/>
      <c r="AW113" s="46"/>
      <c r="AX113" s="46"/>
      <c r="AY113" s="48"/>
    </row>
    <row r="114" spans="1:51" customFormat="1" ht="14.25" customHeight="1" x14ac:dyDescent="0.45">
      <c r="A114" s="26">
        <f t="shared" ref="A114:I114" si="121">A113</f>
        <v>2024</v>
      </c>
      <c r="B114" s="27">
        <f t="shared" si="121"/>
        <v>12</v>
      </c>
      <c r="C114" s="27">
        <f t="shared" si="121"/>
        <v>1</v>
      </c>
      <c r="D114" s="28">
        <f t="shared" si="121"/>
        <v>0.39583333333333331</v>
      </c>
      <c r="E114" s="29">
        <f t="shared" si="121"/>
        <v>17</v>
      </c>
      <c r="F114" s="49">
        <f t="shared" si="121"/>
        <v>13.28288</v>
      </c>
      <c r="G114" s="31">
        <f t="shared" si="121"/>
        <v>100.26653</v>
      </c>
      <c r="H114" s="32">
        <f t="shared" si="121"/>
        <v>13.8</v>
      </c>
      <c r="I114" s="27">
        <f t="shared" si="121"/>
        <v>3</v>
      </c>
      <c r="J114" s="33" t="s">
        <v>52</v>
      </c>
      <c r="K114" s="32">
        <v>12</v>
      </c>
      <c r="L114" s="34"/>
      <c r="M114" s="35"/>
      <c r="N114" s="50">
        <f t="shared" si="120"/>
        <v>2.8</v>
      </c>
      <c r="O114" s="37">
        <v>27.8</v>
      </c>
      <c r="P114" s="38">
        <v>29.196999999999999</v>
      </c>
      <c r="Q114" s="51">
        <v>29.2</v>
      </c>
      <c r="R114" s="38">
        <v>7.9</v>
      </c>
      <c r="S114" s="38">
        <v>8.1199999999999992</v>
      </c>
      <c r="T114" s="37">
        <v>27.5</v>
      </c>
      <c r="U114" s="38">
        <v>31.63</v>
      </c>
      <c r="V114" s="52">
        <v>31.52</v>
      </c>
      <c r="W114" s="38"/>
      <c r="X114" s="38">
        <v>5.5990000000000002</v>
      </c>
      <c r="Y114" s="38">
        <v>5.42</v>
      </c>
      <c r="Z114" s="38">
        <f t="shared" si="96"/>
        <v>5.550828915180622</v>
      </c>
      <c r="AA114" s="41"/>
      <c r="AB114" s="53"/>
      <c r="AC114" s="42">
        <v>0.7</v>
      </c>
      <c r="AD114" s="43">
        <v>1.37</v>
      </c>
      <c r="AF114" s="115"/>
      <c r="AG114" s="143"/>
      <c r="AH114" s="117"/>
      <c r="AI114" s="113"/>
      <c r="AJ114" s="147"/>
      <c r="AK114" s="147"/>
      <c r="AL114" s="147"/>
      <c r="AM114" s="147"/>
      <c r="AN114" s="112"/>
      <c r="AO114" s="112"/>
      <c r="AP114" s="108"/>
      <c r="AQ114" s="45"/>
      <c r="AR114" s="46"/>
      <c r="AS114" s="46"/>
      <c r="AT114" s="46"/>
      <c r="AU114" s="46"/>
      <c r="AV114" s="47"/>
      <c r="AW114" s="46"/>
      <c r="AX114" s="46"/>
      <c r="AY114" s="48"/>
    </row>
    <row r="115" spans="1:51" customFormat="1" ht="14.25" customHeight="1" x14ac:dyDescent="0.45">
      <c r="A115" s="26">
        <v>2024</v>
      </c>
      <c r="B115" s="27">
        <v>12</v>
      </c>
      <c r="C115" s="27">
        <v>1</v>
      </c>
      <c r="D115" s="28">
        <v>0.41666666666666669</v>
      </c>
      <c r="E115" s="29">
        <v>16</v>
      </c>
      <c r="F115" s="30">
        <v>13.23193</v>
      </c>
      <c r="G115" s="31">
        <v>100.26719</v>
      </c>
      <c r="H115" s="32">
        <v>15.7</v>
      </c>
      <c r="I115" s="27">
        <v>3</v>
      </c>
      <c r="J115" s="33" t="s">
        <v>47</v>
      </c>
      <c r="K115" s="32">
        <v>1</v>
      </c>
      <c r="L115" s="34">
        <v>5</v>
      </c>
      <c r="M115" s="35" t="s">
        <v>71</v>
      </c>
      <c r="N115" s="36">
        <v>2</v>
      </c>
      <c r="O115" s="37">
        <v>27.8</v>
      </c>
      <c r="P115" s="38">
        <v>28.457999999999998</v>
      </c>
      <c r="Q115" s="51">
        <v>28.46</v>
      </c>
      <c r="R115" s="38">
        <v>7.92</v>
      </c>
      <c r="S115" s="38">
        <v>8.06</v>
      </c>
      <c r="T115" s="37">
        <v>27.8</v>
      </c>
      <c r="U115" s="38">
        <v>30.35</v>
      </c>
      <c r="V115" s="52">
        <v>30.32</v>
      </c>
      <c r="W115" s="38">
        <v>6.62</v>
      </c>
      <c r="X115" s="38">
        <v>7.0670000000000002</v>
      </c>
      <c r="Y115" s="38">
        <v>6.83</v>
      </c>
      <c r="Z115" s="38">
        <f t="shared" si="96"/>
        <v>6.6595519067235971</v>
      </c>
      <c r="AA115" s="41">
        <v>8.6</v>
      </c>
      <c r="AB115" s="53">
        <v>6.7778</v>
      </c>
      <c r="AC115" s="42">
        <v>4.66</v>
      </c>
      <c r="AD115" s="43">
        <v>6.91</v>
      </c>
      <c r="AE115" s="44" t="s">
        <v>49</v>
      </c>
      <c r="AF115" s="120" t="s">
        <v>49</v>
      </c>
      <c r="AG115" s="143"/>
      <c r="AH115" s="117"/>
      <c r="AI115" s="113"/>
      <c r="AJ115" s="147"/>
      <c r="AK115" s="147"/>
      <c r="AL115" s="147"/>
      <c r="AM115" s="147"/>
      <c r="AN115" s="112"/>
      <c r="AO115" s="112"/>
      <c r="AP115" s="108"/>
      <c r="AQ115" s="45">
        <v>0.72260000000000002</v>
      </c>
      <c r="AR115" s="46">
        <v>30.134499999999999</v>
      </c>
      <c r="AS115" s="46">
        <v>2.3605999999999998</v>
      </c>
      <c r="AT115" s="46">
        <v>0.62929999999999997</v>
      </c>
      <c r="AU115" s="46">
        <v>0.9194</v>
      </c>
      <c r="AV115" s="47">
        <v>212.96</v>
      </c>
      <c r="AW115" s="46"/>
      <c r="AX115" s="46"/>
      <c r="AY115" s="48" t="s">
        <v>80</v>
      </c>
    </row>
    <row r="116" spans="1:51" customFormat="1" ht="14.25" customHeight="1" x14ac:dyDescent="0.45">
      <c r="A116" s="26">
        <f t="shared" ref="A116:I116" si="122">A115</f>
        <v>2024</v>
      </c>
      <c r="B116" s="27">
        <f t="shared" si="122"/>
        <v>12</v>
      </c>
      <c r="C116" s="27">
        <f t="shared" si="122"/>
        <v>1</v>
      </c>
      <c r="D116" s="28">
        <f t="shared" si="122"/>
        <v>0.41666666666666669</v>
      </c>
      <c r="E116" s="29">
        <f t="shared" si="122"/>
        <v>16</v>
      </c>
      <c r="F116" s="49">
        <f t="shared" si="122"/>
        <v>13.23193</v>
      </c>
      <c r="G116" s="31">
        <f t="shared" si="122"/>
        <v>100.26719</v>
      </c>
      <c r="H116" s="32">
        <f t="shared" si="122"/>
        <v>15.7</v>
      </c>
      <c r="I116" s="27">
        <f t="shared" si="122"/>
        <v>3</v>
      </c>
      <c r="J116" s="33" t="s">
        <v>51</v>
      </c>
      <c r="K116" s="32">
        <v>7</v>
      </c>
      <c r="L116" s="34"/>
      <c r="M116" s="35"/>
      <c r="N116" s="50">
        <f t="shared" ref="N116:N117" si="123">N115</f>
        <v>2</v>
      </c>
      <c r="O116" s="37">
        <v>27.7</v>
      </c>
      <c r="P116" s="38">
        <v>28.457000000000001</v>
      </c>
      <c r="Q116" s="51">
        <v>28.47</v>
      </c>
      <c r="R116" s="54">
        <v>7.92</v>
      </c>
      <c r="S116" s="43">
        <v>8.0500000000000007</v>
      </c>
      <c r="T116" s="38">
        <v>27.8</v>
      </c>
      <c r="U116" s="38">
        <v>30.446000000000002</v>
      </c>
      <c r="V116" s="43">
        <v>30.39</v>
      </c>
      <c r="W116" s="38">
        <v>7.08</v>
      </c>
      <c r="X116" s="38">
        <v>6.81</v>
      </c>
      <c r="Y116" s="38">
        <v>6.51</v>
      </c>
      <c r="Z116" s="51">
        <f t="shared" si="96"/>
        <v>6.4079268306287371</v>
      </c>
      <c r="AA116" s="54">
        <v>6.45</v>
      </c>
      <c r="AB116" s="53"/>
      <c r="AC116" s="42">
        <v>4.83</v>
      </c>
      <c r="AD116" s="43">
        <v>7.45</v>
      </c>
      <c r="AF116" s="115"/>
      <c r="AG116" s="143"/>
      <c r="AH116" s="117"/>
      <c r="AI116" s="113"/>
      <c r="AJ116" s="147"/>
      <c r="AK116" s="147"/>
      <c r="AL116" s="147"/>
      <c r="AM116" s="147"/>
      <c r="AN116" s="112"/>
      <c r="AO116" s="112"/>
      <c r="AP116" s="108"/>
      <c r="AQ116" s="45">
        <v>0.86750000000000005</v>
      </c>
      <c r="AR116" s="46">
        <v>26.804300000000001</v>
      </c>
      <c r="AS116" s="46">
        <v>2.5665</v>
      </c>
      <c r="AT116" s="46">
        <v>0.62929999999999997</v>
      </c>
      <c r="AU116" s="46">
        <v>1.2526999999999999</v>
      </c>
      <c r="AV116" s="47">
        <v>149.30260000000001</v>
      </c>
      <c r="AW116" s="46"/>
      <c r="AX116" s="46"/>
      <c r="AY116" s="48"/>
    </row>
    <row r="117" spans="1:51" customFormat="1" ht="14.25" customHeight="1" x14ac:dyDescent="0.45">
      <c r="A117" s="26">
        <f t="shared" ref="A117:I117" si="124">A116</f>
        <v>2024</v>
      </c>
      <c r="B117" s="27">
        <f t="shared" si="124"/>
        <v>12</v>
      </c>
      <c r="C117" s="27">
        <f t="shared" si="124"/>
        <v>1</v>
      </c>
      <c r="D117" s="28">
        <f t="shared" si="124"/>
        <v>0.41666666666666669</v>
      </c>
      <c r="E117" s="29">
        <f t="shared" si="124"/>
        <v>16</v>
      </c>
      <c r="F117" s="49">
        <f t="shared" si="124"/>
        <v>13.23193</v>
      </c>
      <c r="G117" s="31">
        <f t="shared" si="124"/>
        <v>100.26719</v>
      </c>
      <c r="H117" s="32">
        <f t="shared" si="124"/>
        <v>15.7</v>
      </c>
      <c r="I117" s="27">
        <f t="shared" si="124"/>
        <v>3</v>
      </c>
      <c r="J117" s="33" t="s">
        <v>52</v>
      </c>
      <c r="K117" s="32">
        <v>14</v>
      </c>
      <c r="L117" s="34"/>
      <c r="M117" s="35"/>
      <c r="N117" s="50">
        <f t="shared" si="123"/>
        <v>2</v>
      </c>
      <c r="O117" s="37">
        <v>27.8</v>
      </c>
      <c r="P117" s="38">
        <v>28.966000000000001</v>
      </c>
      <c r="Q117" s="51">
        <v>28.96</v>
      </c>
      <c r="R117" s="38">
        <v>7.91</v>
      </c>
      <c r="S117" s="43">
        <v>8.1</v>
      </c>
      <c r="T117" s="38">
        <v>28.4</v>
      </c>
      <c r="U117" s="38">
        <v>31.847000000000001</v>
      </c>
      <c r="V117" s="52">
        <v>31.65</v>
      </c>
      <c r="W117" s="38">
        <v>6.62</v>
      </c>
      <c r="X117" s="38">
        <v>6.0780000000000003</v>
      </c>
      <c r="Y117" s="38">
        <v>5.89</v>
      </c>
      <c r="Z117" s="51">
        <f t="shared" si="96"/>
        <v>5.9204032456949465</v>
      </c>
      <c r="AA117" s="41">
        <v>9.5</v>
      </c>
      <c r="AB117" s="53"/>
      <c r="AC117" s="42">
        <v>0.67</v>
      </c>
      <c r="AD117" s="43">
        <v>1</v>
      </c>
      <c r="AF117" s="115"/>
      <c r="AG117" s="143"/>
      <c r="AH117" s="117"/>
      <c r="AI117" s="113"/>
      <c r="AJ117" s="147"/>
      <c r="AK117" s="147"/>
      <c r="AL117" s="147"/>
      <c r="AM117" s="147"/>
      <c r="AN117" s="112"/>
      <c r="AO117" s="112"/>
      <c r="AP117" s="108"/>
      <c r="AQ117" s="45">
        <v>0.626</v>
      </c>
      <c r="AR117" s="46">
        <v>21.545999999999999</v>
      </c>
      <c r="AS117" s="46">
        <v>1.4911000000000001</v>
      </c>
      <c r="AT117" s="46">
        <v>0.98899999999999999</v>
      </c>
      <c r="AU117" s="46">
        <v>1.115</v>
      </c>
      <c r="AV117" s="47">
        <v>150.2465</v>
      </c>
      <c r="AW117" s="46"/>
      <c r="AX117" s="46"/>
      <c r="AY117" s="48"/>
    </row>
    <row r="118" spans="1:51" customFormat="1" ht="14.25" customHeight="1" x14ac:dyDescent="0.45">
      <c r="A118" s="26">
        <v>2024</v>
      </c>
      <c r="B118" s="27">
        <v>12</v>
      </c>
      <c r="C118" s="27">
        <v>1</v>
      </c>
      <c r="D118" s="28">
        <v>0.46180555555555558</v>
      </c>
      <c r="E118" s="29">
        <v>15</v>
      </c>
      <c r="F118" s="30">
        <v>13.19195</v>
      </c>
      <c r="G118" s="31">
        <v>100.26743999999999</v>
      </c>
      <c r="H118" s="32">
        <v>11.1</v>
      </c>
      <c r="I118" s="27">
        <v>3</v>
      </c>
      <c r="J118" s="33" t="s">
        <v>47</v>
      </c>
      <c r="K118" s="32">
        <v>1</v>
      </c>
      <c r="L118" s="34">
        <v>4</v>
      </c>
      <c r="M118" s="35" t="s">
        <v>71</v>
      </c>
      <c r="N118" s="36">
        <v>2.5</v>
      </c>
      <c r="O118" s="37">
        <v>28</v>
      </c>
      <c r="P118" s="38">
        <v>28.56</v>
      </c>
      <c r="Q118" s="51">
        <v>28.56</v>
      </c>
      <c r="R118" s="38">
        <v>7.94</v>
      </c>
      <c r="S118" s="43">
        <v>8.0399999999999991</v>
      </c>
      <c r="T118" s="38">
        <v>28</v>
      </c>
      <c r="U118" s="38">
        <v>30.693000000000001</v>
      </c>
      <c r="V118" s="52">
        <v>30.67</v>
      </c>
      <c r="W118" s="38"/>
      <c r="X118" s="38">
        <v>7.33</v>
      </c>
      <c r="Y118" s="38">
        <v>6.94</v>
      </c>
      <c r="Z118" s="38">
        <f t="shared" si="96"/>
        <v>6.7460480266312048</v>
      </c>
      <c r="AA118" s="41"/>
      <c r="AB118" s="53"/>
      <c r="AC118" s="42">
        <v>3.45</v>
      </c>
      <c r="AD118" s="43">
        <v>4.46</v>
      </c>
      <c r="AE118" s="44"/>
      <c r="AF118" s="120"/>
      <c r="AG118" s="143"/>
      <c r="AH118" s="117"/>
      <c r="AI118" s="113"/>
      <c r="AJ118" s="147"/>
      <c r="AK118" s="147"/>
      <c r="AL118" s="147"/>
      <c r="AM118" s="147"/>
      <c r="AN118" s="112"/>
      <c r="AO118" s="112"/>
      <c r="AP118" s="108"/>
      <c r="AQ118" s="45"/>
      <c r="AR118" s="46"/>
      <c r="AS118" s="46"/>
      <c r="AT118" s="46"/>
      <c r="AU118" s="46"/>
      <c r="AV118" s="47"/>
      <c r="AW118" s="46"/>
      <c r="AX118" s="46"/>
      <c r="AY118" s="48" t="s">
        <v>81</v>
      </c>
    </row>
    <row r="119" spans="1:51" customFormat="1" ht="14.25" customHeight="1" x14ac:dyDescent="0.45">
      <c r="A119" s="26">
        <f t="shared" ref="A119:I119" si="125">A118</f>
        <v>2024</v>
      </c>
      <c r="B119" s="27">
        <f t="shared" si="125"/>
        <v>12</v>
      </c>
      <c r="C119" s="27">
        <f t="shared" si="125"/>
        <v>1</v>
      </c>
      <c r="D119" s="28">
        <f t="shared" si="125"/>
        <v>0.46180555555555558</v>
      </c>
      <c r="E119" s="29">
        <f t="shared" si="125"/>
        <v>15</v>
      </c>
      <c r="F119" s="49">
        <f t="shared" si="125"/>
        <v>13.19195</v>
      </c>
      <c r="G119" s="31">
        <f t="shared" si="125"/>
        <v>100.26743999999999</v>
      </c>
      <c r="H119" s="32">
        <f t="shared" si="125"/>
        <v>11.1</v>
      </c>
      <c r="I119" s="27">
        <f t="shared" si="125"/>
        <v>3</v>
      </c>
      <c r="J119" s="33" t="s">
        <v>51</v>
      </c>
      <c r="K119" s="32">
        <v>5</v>
      </c>
      <c r="L119" s="34"/>
      <c r="M119" s="35"/>
      <c r="N119" s="50">
        <f t="shared" ref="N119:N120" si="126">N118</f>
        <v>2.5</v>
      </c>
      <c r="O119" s="37">
        <v>28.1</v>
      </c>
      <c r="P119" s="38">
        <v>28.544</v>
      </c>
      <c r="Q119" s="51">
        <v>28.54</v>
      </c>
      <c r="R119" s="54">
        <v>7.92</v>
      </c>
      <c r="S119" s="43">
        <v>8.0399999999999991</v>
      </c>
      <c r="T119" s="38">
        <v>28.1</v>
      </c>
      <c r="U119" s="38">
        <v>30.687000000000001</v>
      </c>
      <c r="V119" s="43">
        <v>30.69</v>
      </c>
      <c r="X119" s="54">
        <v>7.2670000000000003</v>
      </c>
      <c r="Y119" s="38">
        <v>6.78</v>
      </c>
      <c r="Z119" s="51">
        <f t="shared" si="96"/>
        <v>6.6202354885837753</v>
      </c>
      <c r="AB119" s="53"/>
      <c r="AC119" s="42">
        <v>4.49</v>
      </c>
      <c r="AD119" s="43">
        <v>5.13</v>
      </c>
      <c r="AF119" s="115"/>
      <c r="AG119" s="143"/>
      <c r="AH119" s="117"/>
      <c r="AI119" s="113"/>
      <c r="AJ119" s="147"/>
      <c r="AK119" s="147"/>
      <c r="AL119" s="147"/>
      <c r="AM119" s="147"/>
      <c r="AN119" s="112"/>
      <c r="AO119" s="112"/>
      <c r="AP119" s="108"/>
      <c r="AQ119" s="45"/>
      <c r="AR119" s="46"/>
      <c r="AS119" s="46"/>
      <c r="AT119" s="46"/>
      <c r="AU119" s="46"/>
      <c r="AV119" s="47"/>
      <c r="AW119" s="46"/>
      <c r="AX119" s="46"/>
      <c r="AY119" s="48"/>
    </row>
    <row r="120" spans="1:51" customFormat="1" ht="14.25" customHeight="1" x14ac:dyDescent="0.45">
      <c r="A120" s="26">
        <f t="shared" ref="A120:I120" si="127">A119</f>
        <v>2024</v>
      </c>
      <c r="B120" s="27">
        <f t="shared" si="127"/>
        <v>12</v>
      </c>
      <c r="C120" s="27">
        <f t="shared" si="127"/>
        <v>1</v>
      </c>
      <c r="D120" s="28">
        <f t="shared" si="127"/>
        <v>0.46180555555555558</v>
      </c>
      <c r="E120" s="29">
        <f t="shared" si="127"/>
        <v>15</v>
      </c>
      <c r="F120" s="49">
        <f t="shared" si="127"/>
        <v>13.19195</v>
      </c>
      <c r="G120" s="31">
        <f t="shared" si="127"/>
        <v>100.26743999999999</v>
      </c>
      <c r="H120" s="32">
        <f t="shared" si="127"/>
        <v>11.1</v>
      </c>
      <c r="I120" s="27">
        <f t="shared" si="127"/>
        <v>3</v>
      </c>
      <c r="J120" s="33" t="s">
        <v>52</v>
      </c>
      <c r="K120" s="32">
        <v>10</v>
      </c>
      <c r="L120" s="34"/>
      <c r="M120" s="35"/>
      <c r="N120" s="50">
        <f t="shared" si="126"/>
        <v>2.5</v>
      </c>
      <c r="O120" s="37">
        <v>28.1</v>
      </c>
      <c r="P120" s="38">
        <v>28.535</v>
      </c>
      <c r="Q120" s="51">
        <v>28.54</v>
      </c>
      <c r="R120" s="38">
        <v>7.93</v>
      </c>
      <c r="S120" s="43">
        <v>8.0299999999999994</v>
      </c>
      <c r="T120" s="38">
        <v>28.1</v>
      </c>
      <c r="U120" s="38">
        <v>30.841000000000001</v>
      </c>
      <c r="V120" s="52">
        <v>30.78</v>
      </c>
      <c r="W120" s="38"/>
      <c r="X120" s="38">
        <v>6.6689999999999996</v>
      </c>
      <c r="Y120" s="38">
        <v>6.36</v>
      </c>
      <c r="Z120" s="51">
        <f t="shared" si="96"/>
        <v>6.2899775762092718</v>
      </c>
      <c r="AA120" s="41"/>
      <c r="AB120" s="53"/>
      <c r="AC120" s="42">
        <v>3.12</v>
      </c>
      <c r="AD120" s="43">
        <v>4.16</v>
      </c>
      <c r="AF120" s="115"/>
      <c r="AG120" s="143"/>
      <c r="AH120" s="117"/>
      <c r="AI120" s="113"/>
      <c r="AJ120" s="147"/>
      <c r="AK120" s="147"/>
      <c r="AL120" s="147"/>
      <c r="AM120" s="147"/>
      <c r="AN120" s="112"/>
      <c r="AO120" s="112"/>
      <c r="AP120" s="108"/>
      <c r="AQ120" s="45"/>
      <c r="AR120" s="46"/>
      <c r="AS120" s="46"/>
      <c r="AT120" s="46"/>
      <c r="AU120" s="46"/>
      <c r="AV120" s="47"/>
      <c r="AW120" s="46"/>
      <c r="AX120" s="46"/>
      <c r="AY120" s="48"/>
    </row>
    <row r="121" spans="1:51" customFormat="1" ht="14.25" customHeight="1" x14ac:dyDescent="0.45">
      <c r="A121" s="26">
        <v>2024</v>
      </c>
      <c r="B121" s="27">
        <v>12</v>
      </c>
      <c r="C121" s="27">
        <v>1</v>
      </c>
      <c r="D121" s="28">
        <v>0.4826388888888889</v>
      </c>
      <c r="E121" s="29">
        <v>14</v>
      </c>
      <c r="F121" s="30">
        <v>13.13279</v>
      </c>
      <c r="G121" s="31">
        <v>100.26665</v>
      </c>
      <c r="H121" s="32">
        <v>19.7</v>
      </c>
      <c r="I121" s="27">
        <v>3</v>
      </c>
      <c r="J121" s="33" t="s">
        <v>47</v>
      </c>
      <c r="K121" s="32">
        <v>1</v>
      </c>
      <c r="L121" s="34">
        <v>4</v>
      </c>
      <c r="M121" s="35" t="s">
        <v>71</v>
      </c>
      <c r="N121" s="36">
        <v>2.4</v>
      </c>
      <c r="O121" s="37">
        <v>28.1</v>
      </c>
      <c r="P121" s="38">
        <v>28.548999999999999</v>
      </c>
      <c r="Q121" s="51">
        <v>28.55</v>
      </c>
      <c r="R121" s="38">
        <v>7.97</v>
      </c>
      <c r="S121" s="43">
        <v>8.1300000000000008</v>
      </c>
      <c r="T121" s="38">
        <v>28.1</v>
      </c>
      <c r="U121" s="38">
        <v>30.83</v>
      </c>
      <c r="V121" s="52">
        <v>30.81</v>
      </c>
      <c r="W121" s="38">
        <v>7.75</v>
      </c>
      <c r="X121" s="38">
        <v>8.14</v>
      </c>
      <c r="Y121" s="38">
        <v>7.65</v>
      </c>
      <c r="Z121" s="38">
        <f t="shared" si="96"/>
        <v>7.304341164216674</v>
      </c>
      <c r="AA121" s="41">
        <v>9.35</v>
      </c>
      <c r="AB121" s="53">
        <v>6.2438000000000002</v>
      </c>
      <c r="AC121" s="42">
        <v>5.72</v>
      </c>
      <c r="AD121" s="43">
        <v>6.29</v>
      </c>
      <c r="AE121" s="44" t="s">
        <v>49</v>
      </c>
      <c r="AF121" s="120"/>
      <c r="AG121" s="143"/>
      <c r="AH121" s="117"/>
      <c r="AI121" s="113"/>
      <c r="AJ121" s="147"/>
      <c r="AK121" s="147"/>
      <c r="AL121" s="147"/>
      <c r="AM121" s="147"/>
      <c r="AN121" s="112"/>
      <c r="AO121" s="112"/>
      <c r="AP121" s="108"/>
      <c r="AQ121" s="45">
        <v>0.43280000000000002</v>
      </c>
      <c r="AR121" s="46">
        <v>39.599499999999999</v>
      </c>
      <c r="AS121" s="46">
        <v>0.4042</v>
      </c>
      <c r="AT121" s="46">
        <v>0.71919999999999995</v>
      </c>
      <c r="AU121" s="46">
        <v>0.98870000000000002</v>
      </c>
      <c r="AV121" s="47">
        <v>156.36340000000001</v>
      </c>
      <c r="AW121" s="46"/>
      <c r="AX121" s="46"/>
      <c r="AY121" s="48" t="s">
        <v>81</v>
      </c>
    </row>
    <row r="122" spans="1:51" customFormat="1" ht="14.25" customHeight="1" x14ac:dyDescent="0.45">
      <c r="A122" s="26">
        <f t="shared" ref="A122:I122" si="128">A121</f>
        <v>2024</v>
      </c>
      <c r="B122" s="27">
        <f t="shared" si="128"/>
        <v>12</v>
      </c>
      <c r="C122" s="27">
        <f t="shared" si="128"/>
        <v>1</v>
      </c>
      <c r="D122" s="28">
        <f t="shared" si="128"/>
        <v>0.4826388888888889</v>
      </c>
      <c r="E122" s="29">
        <f t="shared" si="128"/>
        <v>14</v>
      </c>
      <c r="F122" s="49">
        <f t="shared" si="128"/>
        <v>13.13279</v>
      </c>
      <c r="G122" s="31">
        <f t="shared" si="128"/>
        <v>100.26665</v>
      </c>
      <c r="H122" s="32">
        <f t="shared" si="128"/>
        <v>19.7</v>
      </c>
      <c r="I122" s="27">
        <f t="shared" si="128"/>
        <v>3</v>
      </c>
      <c r="J122" s="33" t="s">
        <v>51</v>
      </c>
      <c r="K122" s="32">
        <v>9.5</v>
      </c>
      <c r="L122" s="34"/>
      <c r="M122" s="35"/>
      <c r="N122" s="50">
        <f t="shared" ref="N122:N123" si="129">N121</f>
        <v>2.4</v>
      </c>
      <c r="O122" s="37">
        <v>28</v>
      </c>
      <c r="P122" s="38">
        <v>28.530999999999999</v>
      </c>
      <c r="Q122" s="51">
        <v>28.55</v>
      </c>
      <c r="R122" s="38">
        <v>7.98</v>
      </c>
      <c r="S122" s="43">
        <v>8.1</v>
      </c>
      <c r="T122" s="37">
        <v>28.2</v>
      </c>
      <c r="U122" s="38">
        <v>31.106000000000002</v>
      </c>
      <c r="V122" s="52">
        <v>31.08</v>
      </c>
      <c r="W122" s="38">
        <v>7.54</v>
      </c>
      <c r="X122" s="38">
        <v>7.0519999999999996</v>
      </c>
      <c r="Y122" s="38">
        <v>6.74</v>
      </c>
      <c r="Z122" s="38">
        <f t="shared" si="96"/>
        <v>6.5887823540719177</v>
      </c>
      <c r="AA122" s="41">
        <v>13.55</v>
      </c>
      <c r="AB122" s="53"/>
      <c r="AC122" s="42">
        <v>3.95</v>
      </c>
      <c r="AD122" s="43">
        <v>5.61</v>
      </c>
      <c r="AF122" s="115"/>
      <c r="AG122" s="143"/>
      <c r="AH122" s="117"/>
      <c r="AI122" s="113"/>
      <c r="AJ122" s="147"/>
      <c r="AK122" s="147"/>
      <c r="AL122" s="147"/>
      <c r="AM122" s="147"/>
      <c r="AN122" s="112"/>
      <c r="AO122" s="112"/>
      <c r="AP122" s="108"/>
      <c r="AQ122" s="45">
        <v>0.626</v>
      </c>
      <c r="AR122" s="46">
        <v>19.0045</v>
      </c>
      <c r="AS122" s="46">
        <v>0.55289999999999995</v>
      </c>
      <c r="AT122" s="46">
        <v>0.80920000000000003</v>
      </c>
      <c r="AU122" s="46">
        <v>1.1095999999999999</v>
      </c>
      <c r="AV122" s="47">
        <v>192.70179999999999</v>
      </c>
      <c r="AW122" s="46"/>
      <c r="AX122" s="46"/>
      <c r="AY122" s="48"/>
    </row>
    <row r="123" spans="1:51" customFormat="1" ht="14.25" customHeight="1" x14ac:dyDescent="0.45">
      <c r="A123" s="26">
        <f t="shared" ref="A123:I123" si="130">A122</f>
        <v>2024</v>
      </c>
      <c r="B123" s="27">
        <f t="shared" si="130"/>
        <v>12</v>
      </c>
      <c r="C123" s="27">
        <f t="shared" si="130"/>
        <v>1</v>
      </c>
      <c r="D123" s="28">
        <f t="shared" si="130"/>
        <v>0.4826388888888889</v>
      </c>
      <c r="E123" s="29">
        <f t="shared" si="130"/>
        <v>14</v>
      </c>
      <c r="F123" s="49">
        <f t="shared" si="130"/>
        <v>13.13279</v>
      </c>
      <c r="G123" s="31">
        <f t="shared" si="130"/>
        <v>100.26665</v>
      </c>
      <c r="H123" s="32">
        <f t="shared" si="130"/>
        <v>19.7</v>
      </c>
      <c r="I123" s="27">
        <f t="shared" si="130"/>
        <v>3</v>
      </c>
      <c r="J123" s="33" t="s">
        <v>52</v>
      </c>
      <c r="K123" s="32">
        <v>18</v>
      </c>
      <c r="L123" s="34"/>
      <c r="M123" s="35"/>
      <c r="N123" s="50">
        <f t="shared" si="129"/>
        <v>2.4</v>
      </c>
      <c r="O123" s="37">
        <v>27.8</v>
      </c>
      <c r="P123" s="38">
        <v>28.989000000000001</v>
      </c>
      <c r="Q123" s="51">
        <v>28.99</v>
      </c>
      <c r="R123" s="38">
        <v>7.96</v>
      </c>
      <c r="S123" s="38">
        <v>8.14</v>
      </c>
      <c r="T123" s="37">
        <v>28.3</v>
      </c>
      <c r="U123" s="38">
        <v>31.952000000000002</v>
      </c>
      <c r="V123" s="52">
        <v>31.75</v>
      </c>
      <c r="W123" s="38">
        <v>6.84</v>
      </c>
      <c r="X123" s="38">
        <v>6.673</v>
      </c>
      <c r="Y123" s="38">
        <v>3.27</v>
      </c>
      <c r="Z123" s="38">
        <f t="shared" si="96"/>
        <v>3.8602229351682853</v>
      </c>
      <c r="AA123" s="41">
        <v>9.65</v>
      </c>
      <c r="AB123" s="53"/>
      <c r="AC123" s="42">
        <v>1.65</v>
      </c>
      <c r="AD123" s="43">
        <v>2.72</v>
      </c>
      <c r="AF123" s="115"/>
      <c r="AG123" s="143"/>
      <c r="AH123" s="117"/>
      <c r="AI123" s="113"/>
      <c r="AJ123" s="147"/>
      <c r="AK123" s="147"/>
      <c r="AL123" s="147"/>
      <c r="AM123" s="147"/>
      <c r="AN123" s="112"/>
      <c r="AO123" s="112"/>
      <c r="AP123" s="108"/>
      <c r="AQ123" s="45">
        <v>0.52939999999999998</v>
      </c>
      <c r="AR123" s="46">
        <v>17.427</v>
      </c>
      <c r="AS123" s="46">
        <v>0.59870000000000001</v>
      </c>
      <c r="AT123" s="46">
        <v>0.89910000000000001</v>
      </c>
      <c r="AU123" s="46">
        <v>1.2435</v>
      </c>
      <c r="AV123" s="47">
        <v>142.76990000000001</v>
      </c>
      <c r="AW123" s="46"/>
      <c r="AX123" s="46"/>
      <c r="AY123" s="48"/>
    </row>
    <row r="124" spans="1:51" customFormat="1" ht="14.25" customHeight="1" x14ac:dyDescent="0.45">
      <c r="A124" s="26">
        <v>2024</v>
      </c>
      <c r="B124" s="27">
        <v>12</v>
      </c>
      <c r="C124" s="27">
        <v>1</v>
      </c>
      <c r="D124" s="28">
        <v>0.51458333333333328</v>
      </c>
      <c r="E124" s="29" t="s">
        <v>82</v>
      </c>
      <c r="F124" s="30">
        <v>13.133570000000001</v>
      </c>
      <c r="G124" s="31">
        <v>100.20081</v>
      </c>
      <c r="H124" s="32">
        <v>18.5</v>
      </c>
      <c r="I124" s="27">
        <v>3</v>
      </c>
      <c r="J124" s="33" t="s">
        <v>47</v>
      </c>
      <c r="K124" s="32">
        <v>1</v>
      </c>
      <c r="L124" s="34">
        <v>6</v>
      </c>
      <c r="M124" s="35" t="s">
        <v>71</v>
      </c>
      <c r="N124" s="36">
        <v>3.3</v>
      </c>
      <c r="O124" s="37">
        <v>28.3</v>
      </c>
      <c r="P124" s="38">
        <v>28.835999999999999</v>
      </c>
      <c r="Q124" s="51">
        <v>28.84</v>
      </c>
      <c r="R124" s="38">
        <v>8.01</v>
      </c>
      <c r="S124" s="38">
        <v>8.1300000000000008</v>
      </c>
      <c r="T124" s="37">
        <v>28.2</v>
      </c>
      <c r="U124" s="38">
        <v>30.847000000000001</v>
      </c>
      <c r="V124" s="52">
        <v>30.8</v>
      </c>
      <c r="W124" s="38"/>
      <c r="X124" s="38">
        <v>8.41</v>
      </c>
      <c r="Y124" s="38">
        <v>7.77</v>
      </c>
      <c r="Z124" s="38">
        <f t="shared" si="96"/>
        <v>7.3987005677522459</v>
      </c>
      <c r="AA124" s="41"/>
      <c r="AB124" s="53"/>
      <c r="AC124" s="42">
        <v>3.6</v>
      </c>
      <c r="AD124" s="43">
        <v>4.82</v>
      </c>
      <c r="AF124" s="115"/>
      <c r="AG124" s="143"/>
      <c r="AH124" s="117"/>
      <c r="AI124" s="113"/>
      <c r="AJ124" s="147"/>
      <c r="AK124" s="147"/>
      <c r="AL124" s="147"/>
      <c r="AM124" s="147"/>
      <c r="AN124" s="112"/>
      <c r="AO124" s="112"/>
      <c r="AP124" s="108"/>
      <c r="AQ124" s="45"/>
      <c r="AR124" s="46"/>
      <c r="AS124" s="46"/>
      <c r="AT124" s="46"/>
      <c r="AU124" s="46"/>
      <c r="AV124" s="47"/>
      <c r="AW124" s="46"/>
      <c r="AX124" s="46"/>
      <c r="AY124" s="48" t="s">
        <v>81</v>
      </c>
    </row>
    <row r="125" spans="1:51" customFormat="1" ht="14.25" customHeight="1" x14ac:dyDescent="0.45">
      <c r="A125" s="26">
        <f t="shared" ref="A125:I125" si="131">A124</f>
        <v>2024</v>
      </c>
      <c r="B125" s="27">
        <f t="shared" si="131"/>
        <v>12</v>
      </c>
      <c r="C125" s="27">
        <f t="shared" si="131"/>
        <v>1</v>
      </c>
      <c r="D125" s="28">
        <f t="shared" si="131"/>
        <v>0.51458333333333328</v>
      </c>
      <c r="E125" s="29" t="str">
        <f t="shared" si="131"/>
        <v>C2</v>
      </c>
      <c r="F125" s="49">
        <f t="shared" si="131"/>
        <v>13.133570000000001</v>
      </c>
      <c r="G125" s="31">
        <f t="shared" si="131"/>
        <v>100.20081</v>
      </c>
      <c r="H125" s="32">
        <f t="shared" si="131"/>
        <v>18.5</v>
      </c>
      <c r="I125" s="27">
        <f t="shared" si="131"/>
        <v>3</v>
      </c>
      <c r="J125" s="33" t="s">
        <v>51</v>
      </c>
      <c r="K125" s="32">
        <v>9</v>
      </c>
      <c r="L125" s="34"/>
      <c r="M125" s="35"/>
      <c r="N125" s="50">
        <f t="shared" ref="N125:N126" si="132">N124</f>
        <v>3.3</v>
      </c>
      <c r="O125" s="37">
        <v>28.2</v>
      </c>
      <c r="P125" s="38">
        <v>28.710999999999999</v>
      </c>
      <c r="Q125" s="51">
        <v>28.71</v>
      </c>
      <c r="R125" s="38">
        <v>7.98</v>
      </c>
      <c r="S125" s="38">
        <v>8.09</v>
      </c>
      <c r="T125" s="37">
        <v>28.3</v>
      </c>
      <c r="U125" s="38">
        <v>30.995999999999999</v>
      </c>
      <c r="V125" s="52">
        <v>30.9</v>
      </c>
      <c r="W125" s="38"/>
      <c r="X125" s="38">
        <v>7.3239999999999998</v>
      </c>
      <c r="Y125" s="38">
        <v>6.84</v>
      </c>
      <c r="Z125" s="38">
        <f t="shared" si="96"/>
        <v>6.6674151903515613</v>
      </c>
      <c r="AA125" s="41"/>
      <c r="AB125" s="53"/>
      <c r="AC125" s="42">
        <v>5.41</v>
      </c>
      <c r="AD125" s="43">
        <v>6.13</v>
      </c>
      <c r="AF125" s="115"/>
      <c r="AG125" s="143"/>
      <c r="AH125" s="117"/>
      <c r="AI125" s="113"/>
      <c r="AJ125" s="147"/>
      <c r="AK125" s="147"/>
      <c r="AL125" s="147"/>
      <c r="AM125" s="147"/>
      <c r="AN125" s="112"/>
      <c r="AO125" s="112"/>
      <c r="AP125" s="108"/>
      <c r="AQ125" s="45"/>
      <c r="AR125" s="46"/>
      <c r="AS125" s="46"/>
      <c r="AT125" s="46"/>
      <c r="AU125" s="46"/>
      <c r="AV125" s="47"/>
      <c r="AW125" s="46"/>
      <c r="AX125" s="46"/>
      <c r="AY125" s="48"/>
    </row>
    <row r="126" spans="1:51" customFormat="1" ht="14.25" customHeight="1" x14ac:dyDescent="0.45">
      <c r="A126" s="26">
        <f t="shared" ref="A126:I126" si="133">A125</f>
        <v>2024</v>
      </c>
      <c r="B126" s="27">
        <f t="shared" si="133"/>
        <v>12</v>
      </c>
      <c r="C126" s="27">
        <f t="shared" si="133"/>
        <v>1</v>
      </c>
      <c r="D126" s="28">
        <f t="shared" si="133"/>
        <v>0.51458333333333328</v>
      </c>
      <c r="E126" s="29" t="str">
        <f t="shared" si="133"/>
        <v>C2</v>
      </c>
      <c r="F126" s="49">
        <f t="shared" si="133"/>
        <v>13.133570000000001</v>
      </c>
      <c r="G126" s="31">
        <f t="shared" si="133"/>
        <v>100.20081</v>
      </c>
      <c r="H126" s="32">
        <f t="shared" si="133"/>
        <v>18.5</v>
      </c>
      <c r="I126" s="27">
        <f t="shared" si="133"/>
        <v>3</v>
      </c>
      <c r="J126" s="33" t="s">
        <v>52</v>
      </c>
      <c r="K126" s="32">
        <v>17</v>
      </c>
      <c r="L126" s="34"/>
      <c r="M126" s="35"/>
      <c r="N126" s="50">
        <f t="shared" si="132"/>
        <v>3.3</v>
      </c>
      <c r="O126" s="37">
        <v>28.3</v>
      </c>
      <c r="P126" s="38">
        <v>28.911999999999999</v>
      </c>
      <c r="Q126" s="51">
        <v>28.92</v>
      </c>
      <c r="R126" s="38">
        <v>7.95</v>
      </c>
      <c r="S126" s="38">
        <v>8.0500000000000007</v>
      </c>
      <c r="T126" s="37">
        <v>28.3</v>
      </c>
      <c r="U126" s="38">
        <v>31.433</v>
      </c>
      <c r="V126" s="52">
        <v>31.24</v>
      </c>
      <c r="W126" s="38"/>
      <c r="X126" s="38">
        <v>6.15</v>
      </c>
      <c r="Y126" s="38">
        <v>5.83</v>
      </c>
      <c r="Z126" s="38">
        <f t="shared" si="96"/>
        <v>5.8732235439271605</v>
      </c>
      <c r="AA126" s="41"/>
      <c r="AB126" s="53"/>
      <c r="AC126" s="42">
        <v>1.71</v>
      </c>
      <c r="AD126" s="43">
        <v>2.4</v>
      </c>
      <c r="AF126" s="115"/>
      <c r="AG126" s="143"/>
      <c r="AH126" s="117"/>
      <c r="AI126" s="113"/>
      <c r="AJ126" s="147"/>
      <c r="AK126" s="147"/>
      <c r="AL126" s="147"/>
      <c r="AM126" s="147"/>
      <c r="AN126" s="112"/>
      <c r="AO126" s="112"/>
      <c r="AP126" s="108"/>
      <c r="AQ126" s="45"/>
      <c r="AR126" s="46"/>
      <c r="AS126" s="46"/>
      <c r="AT126" s="46"/>
      <c r="AU126" s="46"/>
      <c r="AV126" s="47"/>
      <c r="AW126" s="46"/>
      <c r="AX126" s="46"/>
      <c r="AY126" s="48"/>
    </row>
    <row r="127" spans="1:51" customFormat="1" ht="14.25" customHeight="1" x14ac:dyDescent="0.45">
      <c r="A127" s="26">
        <v>2024</v>
      </c>
      <c r="B127" s="27">
        <v>12</v>
      </c>
      <c r="C127" s="27">
        <v>1</v>
      </c>
      <c r="D127" s="28">
        <v>0.54166666666666663</v>
      </c>
      <c r="E127" s="29">
        <v>11</v>
      </c>
      <c r="F127" s="30">
        <v>13.132490000000001</v>
      </c>
      <c r="G127" s="31">
        <v>100.1331</v>
      </c>
      <c r="H127" s="32">
        <v>16.3</v>
      </c>
      <c r="I127" s="27">
        <v>3</v>
      </c>
      <c r="J127" s="33" t="s">
        <v>47</v>
      </c>
      <c r="K127" s="32">
        <v>1</v>
      </c>
      <c r="L127" s="34">
        <v>6</v>
      </c>
      <c r="M127" s="35" t="s">
        <v>71</v>
      </c>
      <c r="N127" s="36">
        <v>2.6</v>
      </c>
      <c r="O127" s="37">
        <v>28.6</v>
      </c>
      <c r="P127" s="38">
        <v>28.853999999999999</v>
      </c>
      <c r="Q127" s="51">
        <v>28.86</v>
      </c>
      <c r="R127" s="38">
        <v>8.02</v>
      </c>
      <c r="S127" s="38">
        <v>8.08</v>
      </c>
      <c r="T127" s="37">
        <v>27</v>
      </c>
      <c r="U127" s="38">
        <v>29.504000000000001</v>
      </c>
      <c r="V127" s="52">
        <v>29.47</v>
      </c>
      <c r="W127" s="38">
        <v>7.93</v>
      </c>
      <c r="X127" s="38">
        <v>8.4269999999999996</v>
      </c>
      <c r="Y127" s="38">
        <v>7.5</v>
      </c>
      <c r="Z127" s="38">
        <f t="shared" si="96"/>
        <v>7.1863919097972087</v>
      </c>
      <c r="AA127" s="41">
        <v>9.6999999999999993</v>
      </c>
      <c r="AB127" s="53">
        <v>5.7125000000000004</v>
      </c>
      <c r="AC127" s="42">
        <v>3.19</v>
      </c>
      <c r="AD127" s="43">
        <v>3.22</v>
      </c>
      <c r="AE127" s="44" t="s">
        <v>49</v>
      </c>
      <c r="AF127" s="115"/>
      <c r="AG127" s="143"/>
      <c r="AH127" s="117"/>
      <c r="AI127" s="113"/>
      <c r="AJ127" s="147"/>
      <c r="AK127" s="147"/>
      <c r="AL127" s="147"/>
      <c r="AM127" s="147"/>
      <c r="AN127" s="112"/>
      <c r="AO127" s="112"/>
      <c r="AP127" s="108"/>
      <c r="AQ127" s="45">
        <v>0.81920000000000004</v>
      </c>
      <c r="AR127" s="46">
        <v>12.9574</v>
      </c>
      <c r="AS127" s="46">
        <v>0.2326</v>
      </c>
      <c r="AT127" s="46">
        <v>0.53939999999999999</v>
      </c>
      <c r="AU127" s="46">
        <v>1.5647</v>
      </c>
      <c r="AV127" s="47">
        <v>209.0635</v>
      </c>
      <c r="AW127" s="46"/>
      <c r="AX127" s="46"/>
      <c r="AY127" s="48" t="s">
        <v>83</v>
      </c>
    </row>
    <row r="128" spans="1:51" customFormat="1" ht="14.25" customHeight="1" x14ac:dyDescent="0.45">
      <c r="A128" s="26">
        <f t="shared" ref="A128:I128" si="134">A127</f>
        <v>2024</v>
      </c>
      <c r="B128" s="27">
        <f t="shared" si="134"/>
        <v>12</v>
      </c>
      <c r="C128" s="27">
        <f t="shared" si="134"/>
        <v>1</v>
      </c>
      <c r="D128" s="28">
        <f t="shared" si="134"/>
        <v>0.54166666666666663</v>
      </c>
      <c r="E128" s="29">
        <f t="shared" si="134"/>
        <v>11</v>
      </c>
      <c r="F128" s="49">
        <f t="shared" si="134"/>
        <v>13.132490000000001</v>
      </c>
      <c r="G128" s="31">
        <f t="shared" si="134"/>
        <v>100.1331</v>
      </c>
      <c r="H128" s="32">
        <f t="shared" si="134"/>
        <v>16.3</v>
      </c>
      <c r="I128" s="27">
        <f t="shared" si="134"/>
        <v>3</v>
      </c>
      <c r="J128" s="33" t="s">
        <v>51</v>
      </c>
      <c r="K128" s="32">
        <v>8</v>
      </c>
      <c r="L128" s="34"/>
      <c r="M128" s="35"/>
      <c r="N128" s="50">
        <f t="shared" ref="N128:N129" si="135">N127</f>
        <v>2.6</v>
      </c>
      <c r="O128" s="37">
        <v>28.5</v>
      </c>
      <c r="P128" s="38">
        <v>28.956</v>
      </c>
      <c r="Q128" s="51">
        <v>28.95</v>
      </c>
      <c r="R128" s="38">
        <v>7.89</v>
      </c>
      <c r="S128" s="38">
        <v>8.0399999999999991</v>
      </c>
      <c r="T128" s="37">
        <v>28.2</v>
      </c>
      <c r="U128" s="38">
        <v>30.311</v>
      </c>
      <c r="V128" s="52">
        <v>30.19</v>
      </c>
      <c r="W128" s="38">
        <v>6.3</v>
      </c>
      <c r="X128" s="38">
        <v>6.5810000000000004</v>
      </c>
      <c r="Y128" s="38">
        <v>6.08</v>
      </c>
      <c r="Z128" s="38">
        <f t="shared" si="96"/>
        <v>6.0698056346262694</v>
      </c>
      <c r="AA128" s="41">
        <v>19.53</v>
      </c>
      <c r="AB128" s="53"/>
      <c r="AC128" s="42">
        <v>3.13</v>
      </c>
      <c r="AD128" s="43">
        <v>4.37</v>
      </c>
      <c r="AF128" s="115"/>
      <c r="AG128" s="143"/>
      <c r="AH128" s="117"/>
      <c r="AI128" s="113"/>
      <c r="AJ128" s="147"/>
      <c r="AK128" s="147"/>
      <c r="AL128" s="147"/>
      <c r="AM128" s="147"/>
      <c r="AN128" s="112"/>
      <c r="AO128" s="112"/>
      <c r="AP128" s="108"/>
      <c r="AQ128" s="45">
        <v>0.96419999999999995</v>
      </c>
      <c r="AR128" s="46">
        <v>18.390999999999998</v>
      </c>
      <c r="AS128" s="46">
        <v>0.53</v>
      </c>
      <c r="AT128" s="46">
        <v>0.89910000000000001</v>
      </c>
      <c r="AU128" s="46">
        <v>1.7164999999999999</v>
      </c>
      <c r="AV128" s="47">
        <v>134.36449999999999</v>
      </c>
      <c r="AW128" s="46"/>
      <c r="AX128" s="46"/>
      <c r="AY128" s="48"/>
    </row>
    <row r="129" spans="1:51" customFormat="1" ht="14.25" customHeight="1" x14ac:dyDescent="0.45">
      <c r="A129" s="26">
        <f t="shared" ref="A129:I129" si="136">A128</f>
        <v>2024</v>
      </c>
      <c r="B129" s="27">
        <f t="shared" si="136"/>
        <v>12</v>
      </c>
      <c r="C129" s="27">
        <f t="shared" si="136"/>
        <v>1</v>
      </c>
      <c r="D129" s="28">
        <f t="shared" si="136"/>
        <v>0.54166666666666663</v>
      </c>
      <c r="E129" s="29">
        <f t="shared" si="136"/>
        <v>11</v>
      </c>
      <c r="F129" s="49">
        <f t="shared" si="136"/>
        <v>13.132490000000001</v>
      </c>
      <c r="G129" s="31">
        <f t="shared" si="136"/>
        <v>100.1331</v>
      </c>
      <c r="H129" s="32">
        <f t="shared" si="136"/>
        <v>16.3</v>
      </c>
      <c r="I129" s="27">
        <f t="shared" si="136"/>
        <v>3</v>
      </c>
      <c r="J129" s="33" t="s">
        <v>52</v>
      </c>
      <c r="K129" s="32">
        <v>15</v>
      </c>
      <c r="L129" s="34"/>
      <c r="M129" s="35"/>
      <c r="N129" s="50">
        <f t="shared" si="135"/>
        <v>2.6</v>
      </c>
      <c r="O129" s="37">
        <v>28.5</v>
      </c>
      <c r="P129" s="38">
        <v>29.097000000000001</v>
      </c>
      <c r="Q129" s="51">
        <v>29.1</v>
      </c>
      <c r="R129" s="38">
        <v>8</v>
      </c>
      <c r="S129" s="38">
        <v>8.01</v>
      </c>
      <c r="T129" s="37">
        <v>27.2</v>
      </c>
      <c r="U129" s="38">
        <v>30.992999999999999</v>
      </c>
      <c r="V129" s="52">
        <v>30.88</v>
      </c>
      <c r="W129" s="38">
        <v>6.49</v>
      </c>
      <c r="X129" s="38">
        <v>5.88</v>
      </c>
      <c r="Y129" s="38">
        <v>5.5</v>
      </c>
      <c r="Z129" s="38">
        <f t="shared" si="96"/>
        <v>5.6137351842043373</v>
      </c>
      <c r="AA129" s="41">
        <v>14.8</v>
      </c>
      <c r="AB129" s="53"/>
      <c r="AC129" s="42">
        <v>2.61</v>
      </c>
      <c r="AD129" s="43">
        <v>4.7</v>
      </c>
      <c r="AF129" s="115"/>
      <c r="AG129" s="143"/>
      <c r="AH129" s="117"/>
      <c r="AI129" s="113"/>
      <c r="AJ129" s="147"/>
      <c r="AK129" s="147"/>
      <c r="AL129" s="147"/>
      <c r="AM129" s="147"/>
      <c r="AN129" s="112"/>
      <c r="AO129" s="112"/>
      <c r="AP129" s="108"/>
      <c r="AQ129" s="45">
        <v>0.77090000000000003</v>
      </c>
      <c r="AR129" s="46">
        <v>26.366099999999999</v>
      </c>
      <c r="AS129" s="46">
        <v>0.94189999999999996</v>
      </c>
      <c r="AT129" s="46">
        <v>1.5284</v>
      </c>
      <c r="AU129" s="46">
        <v>1.6640999999999999</v>
      </c>
      <c r="AV129" s="47">
        <v>207.04050000000001</v>
      </c>
      <c r="AW129" s="46"/>
      <c r="AX129" s="46"/>
      <c r="AY129" s="48"/>
    </row>
    <row r="130" spans="1:51" customFormat="1" ht="14.25" customHeight="1" x14ac:dyDescent="0.45">
      <c r="A130" s="26">
        <v>2024</v>
      </c>
      <c r="B130" s="27">
        <v>12</v>
      </c>
      <c r="C130" s="27">
        <v>1</v>
      </c>
      <c r="D130" s="28">
        <v>0.56597222222222221</v>
      </c>
      <c r="E130" s="29">
        <v>10</v>
      </c>
      <c r="F130" s="30">
        <v>13.165039999999999</v>
      </c>
      <c r="G130" s="31">
        <v>100.13355</v>
      </c>
      <c r="H130" s="32">
        <v>16.5</v>
      </c>
      <c r="I130" s="27">
        <v>3</v>
      </c>
      <c r="J130" s="33" t="s">
        <v>47</v>
      </c>
      <c r="K130" s="32">
        <v>1</v>
      </c>
      <c r="L130" s="34">
        <v>5</v>
      </c>
      <c r="M130" s="35" t="s">
        <v>71</v>
      </c>
      <c r="N130" s="36">
        <v>2.2999999999999998</v>
      </c>
      <c r="O130" s="37">
        <v>28.4</v>
      </c>
      <c r="P130" s="38">
        <v>28.844999999999999</v>
      </c>
      <c r="Q130" s="51">
        <v>28.85</v>
      </c>
      <c r="R130" s="38">
        <v>8.0299999999999994</v>
      </c>
      <c r="S130" s="38">
        <v>8.17</v>
      </c>
      <c r="T130" s="37">
        <v>26.8</v>
      </c>
      <c r="U130" s="38">
        <v>29.382000000000001</v>
      </c>
      <c r="V130" s="52">
        <v>29.36</v>
      </c>
      <c r="W130" s="38"/>
      <c r="X130" s="38">
        <v>8.3840000000000003</v>
      </c>
      <c r="Y130" s="38">
        <v>7.84</v>
      </c>
      <c r="Z130" s="38">
        <f t="shared" si="96"/>
        <v>7.453743553147997</v>
      </c>
      <c r="AA130" s="41"/>
      <c r="AB130" s="53"/>
      <c r="AC130" s="42">
        <v>2.54</v>
      </c>
      <c r="AD130" s="43">
        <v>2.97</v>
      </c>
      <c r="AF130" s="115"/>
      <c r="AG130" s="143"/>
      <c r="AH130" s="117"/>
      <c r="AI130" s="113"/>
      <c r="AJ130" s="147"/>
      <c r="AK130" s="147"/>
      <c r="AL130" s="147"/>
      <c r="AM130" s="147"/>
      <c r="AN130" s="112"/>
      <c r="AO130" s="112"/>
      <c r="AP130" s="108"/>
      <c r="AQ130" s="45"/>
      <c r="AR130" s="46"/>
      <c r="AS130" s="46"/>
      <c r="AT130" s="46"/>
      <c r="AU130" s="46"/>
      <c r="AV130" s="47"/>
      <c r="AW130" s="46"/>
      <c r="AX130" s="46"/>
      <c r="AY130" s="48" t="s">
        <v>81</v>
      </c>
    </row>
    <row r="131" spans="1:51" customFormat="1" ht="14.25" customHeight="1" x14ac:dyDescent="0.45">
      <c r="A131" s="26">
        <f t="shared" ref="A131:I131" si="137">A130</f>
        <v>2024</v>
      </c>
      <c r="B131" s="27">
        <f t="shared" si="137"/>
        <v>12</v>
      </c>
      <c r="C131" s="27">
        <f t="shared" si="137"/>
        <v>1</v>
      </c>
      <c r="D131" s="28">
        <f t="shared" si="137"/>
        <v>0.56597222222222221</v>
      </c>
      <c r="E131" s="29">
        <f t="shared" si="137"/>
        <v>10</v>
      </c>
      <c r="F131" s="49">
        <f t="shared" si="137"/>
        <v>13.165039999999999</v>
      </c>
      <c r="G131" s="31">
        <f t="shared" si="137"/>
        <v>100.13355</v>
      </c>
      <c r="H131" s="32">
        <f t="shared" si="137"/>
        <v>16.5</v>
      </c>
      <c r="I131" s="27">
        <f t="shared" si="137"/>
        <v>3</v>
      </c>
      <c r="J131" s="33" t="s">
        <v>51</v>
      </c>
      <c r="K131" s="32">
        <v>8</v>
      </c>
      <c r="L131" s="34"/>
      <c r="M131" s="35"/>
      <c r="N131" s="50">
        <f t="shared" ref="N131:N132" si="138">N130</f>
        <v>2.2999999999999998</v>
      </c>
      <c r="O131" s="37">
        <v>28.6</v>
      </c>
      <c r="P131" s="38">
        <v>28.962</v>
      </c>
      <c r="Q131" s="51">
        <v>28.97</v>
      </c>
      <c r="R131" s="38">
        <v>7.92</v>
      </c>
      <c r="S131" s="38">
        <v>8.0500000000000007</v>
      </c>
      <c r="T131" s="37">
        <v>27.9</v>
      </c>
      <c r="U131" s="38">
        <v>30.497</v>
      </c>
      <c r="V131" s="52">
        <v>30.43</v>
      </c>
      <c r="W131" s="38"/>
      <c r="X131" s="38">
        <v>6.4539999999999997</v>
      </c>
      <c r="Y131" s="38">
        <v>6.03</v>
      </c>
      <c r="Z131" s="38">
        <f t="shared" si="96"/>
        <v>6.0304892164864485</v>
      </c>
      <c r="AA131" s="41"/>
      <c r="AB131" s="53"/>
      <c r="AC131" s="42">
        <v>2.3199999999999998</v>
      </c>
      <c r="AD131" s="43">
        <v>2.91</v>
      </c>
      <c r="AF131" s="115"/>
      <c r="AG131" s="143"/>
      <c r="AH131" s="117"/>
      <c r="AI131" s="113"/>
      <c r="AJ131" s="147"/>
      <c r="AK131" s="147"/>
      <c r="AL131" s="147"/>
      <c r="AM131" s="147"/>
      <c r="AN131" s="112"/>
      <c r="AO131" s="112"/>
      <c r="AP131" s="108"/>
      <c r="AQ131" s="45"/>
      <c r="AR131" s="46"/>
      <c r="AS131" s="46"/>
      <c r="AT131" s="46"/>
      <c r="AU131" s="46"/>
      <c r="AV131" s="47"/>
      <c r="AW131" s="46"/>
      <c r="AX131" s="46"/>
      <c r="AY131" s="48"/>
    </row>
    <row r="132" spans="1:51" customFormat="1" ht="14.25" customHeight="1" x14ac:dyDescent="0.45">
      <c r="A132" s="26">
        <f t="shared" ref="A132:I132" si="139">A131</f>
        <v>2024</v>
      </c>
      <c r="B132" s="27">
        <f t="shared" si="139"/>
        <v>12</v>
      </c>
      <c r="C132" s="27">
        <f t="shared" si="139"/>
        <v>1</v>
      </c>
      <c r="D132" s="28">
        <f t="shared" si="139"/>
        <v>0.56597222222222221</v>
      </c>
      <c r="E132" s="29">
        <f t="shared" si="139"/>
        <v>10</v>
      </c>
      <c r="F132" s="49">
        <f t="shared" si="139"/>
        <v>13.165039999999999</v>
      </c>
      <c r="G132" s="31">
        <f t="shared" si="139"/>
        <v>100.13355</v>
      </c>
      <c r="H132" s="32">
        <f t="shared" si="139"/>
        <v>16.5</v>
      </c>
      <c r="I132" s="27">
        <f t="shared" si="139"/>
        <v>3</v>
      </c>
      <c r="J132" s="33" t="s">
        <v>52</v>
      </c>
      <c r="K132" s="32">
        <v>15</v>
      </c>
      <c r="L132" s="34"/>
      <c r="M132" s="35"/>
      <c r="N132" s="50">
        <f t="shared" si="138"/>
        <v>2.2999999999999998</v>
      </c>
      <c r="O132" s="37">
        <v>28.5</v>
      </c>
      <c r="P132" s="38">
        <v>29.065000000000001</v>
      </c>
      <c r="Q132" s="51">
        <v>29.07</v>
      </c>
      <c r="R132" s="38">
        <v>7.91</v>
      </c>
      <c r="S132" s="38">
        <v>8.02</v>
      </c>
      <c r="T132" s="37">
        <v>28.2</v>
      </c>
      <c r="U132" s="38">
        <v>30.887</v>
      </c>
      <c r="V132" s="52">
        <v>30.78</v>
      </c>
      <c r="W132" s="38"/>
      <c r="X132" s="38">
        <v>5.8890000000000002</v>
      </c>
      <c r="Y132" s="38">
        <v>5.58</v>
      </c>
      <c r="Z132" s="38">
        <f t="shared" si="96"/>
        <v>5.6766414532280516</v>
      </c>
      <c r="AA132" s="41"/>
      <c r="AB132" s="53"/>
      <c r="AC132" s="42">
        <v>2.44</v>
      </c>
      <c r="AD132" s="43">
        <v>3.49</v>
      </c>
      <c r="AF132" s="115"/>
      <c r="AG132" s="143"/>
      <c r="AH132" s="117"/>
      <c r="AI132" s="113"/>
      <c r="AJ132" s="147"/>
      <c r="AK132" s="147"/>
      <c r="AL132" s="147"/>
      <c r="AM132" s="147"/>
      <c r="AN132" s="112"/>
      <c r="AO132" s="112"/>
      <c r="AP132" s="108"/>
      <c r="AQ132" s="45"/>
      <c r="AR132" s="46"/>
      <c r="AS132" s="46"/>
      <c r="AT132" s="46"/>
      <c r="AU132" s="46"/>
      <c r="AV132" s="47"/>
      <c r="AW132" s="46"/>
      <c r="AX132" s="46"/>
      <c r="AY132" s="48"/>
    </row>
    <row r="133" spans="1:51" customFormat="1" ht="14.25" customHeight="1" x14ac:dyDescent="0.45">
      <c r="A133" s="26">
        <v>2024</v>
      </c>
      <c r="B133" s="27">
        <v>12</v>
      </c>
      <c r="C133" s="27">
        <v>1</v>
      </c>
      <c r="D133" s="28">
        <v>0.58680555555555558</v>
      </c>
      <c r="E133" s="29">
        <v>9</v>
      </c>
      <c r="F133" s="30">
        <v>13.208320000000001</v>
      </c>
      <c r="G133" s="31">
        <v>100.13221</v>
      </c>
      <c r="H133" s="32">
        <v>15.7</v>
      </c>
      <c r="I133" s="27">
        <v>3</v>
      </c>
      <c r="J133" s="33" t="s">
        <v>47</v>
      </c>
      <c r="K133" s="32">
        <v>1</v>
      </c>
      <c r="L133" s="34">
        <v>4</v>
      </c>
      <c r="M133" s="35" t="s">
        <v>71</v>
      </c>
      <c r="N133" s="36">
        <v>2.2000000000000002</v>
      </c>
      <c r="O133" s="37">
        <v>29</v>
      </c>
      <c r="P133" s="38">
        <v>29.077000000000002</v>
      </c>
      <c r="Q133" s="51">
        <v>29.08</v>
      </c>
      <c r="R133" s="38">
        <v>8.1300000000000008</v>
      </c>
      <c r="S133" s="38">
        <v>8.23</v>
      </c>
      <c r="T133" s="37">
        <v>26.9</v>
      </c>
      <c r="U133" s="38">
        <v>29.414000000000001</v>
      </c>
      <c r="V133" s="52">
        <v>29.4</v>
      </c>
      <c r="W133" s="38">
        <v>9.4600000000000009</v>
      </c>
      <c r="X133" s="38">
        <v>10.483000000000001</v>
      </c>
      <c r="Y133" s="38">
        <v>9.49</v>
      </c>
      <c r="Z133" s="38">
        <f t="shared" si="96"/>
        <v>8.7511853517621159</v>
      </c>
      <c r="AA133" s="41">
        <v>10.55</v>
      </c>
      <c r="AB133" s="53">
        <v>6.4489000000000001</v>
      </c>
      <c r="AC133" s="42">
        <v>6.37</v>
      </c>
      <c r="AD133" s="43">
        <v>7.55</v>
      </c>
      <c r="AE133" s="44" t="s">
        <v>49</v>
      </c>
      <c r="AF133" s="120" t="s">
        <v>49</v>
      </c>
      <c r="AG133" s="143"/>
      <c r="AH133" s="117"/>
      <c r="AI133" s="113"/>
      <c r="AJ133" s="147"/>
      <c r="AK133" s="147"/>
      <c r="AL133" s="147"/>
      <c r="AM133" s="147"/>
      <c r="AN133" s="112"/>
      <c r="AO133" s="112"/>
      <c r="AP133" s="108"/>
      <c r="AQ133" s="45">
        <v>0.72260000000000002</v>
      </c>
      <c r="AR133" s="46">
        <v>12.738300000000001</v>
      </c>
      <c r="AS133" s="46">
        <v>0.16389999999999999</v>
      </c>
      <c r="AT133" s="46">
        <v>0.62929999999999997</v>
      </c>
      <c r="AU133" s="46">
        <v>1.7748999999999999</v>
      </c>
      <c r="AV133" s="47">
        <v>274.387</v>
      </c>
      <c r="AW133" s="46"/>
      <c r="AX133" s="46"/>
      <c r="AY133" s="48" t="s">
        <v>84</v>
      </c>
    </row>
    <row r="134" spans="1:51" customFormat="1" ht="14.25" customHeight="1" x14ac:dyDescent="0.45">
      <c r="A134" s="26">
        <f t="shared" ref="A134:I134" si="140">A133</f>
        <v>2024</v>
      </c>
      <c r="B134" s="27">
        <f t="shared" si="140"/>
        <v>12</v>
      </c>
      <c r="C134" s="27">
        <f t="shared" si="140"/>
        <v>1</v>
      </c>
      <c r="D134" s="28">
        <f t="shared" si="140"/>
        <v>0.58680555555555558</v>
      </c>
      <c r="E134" s="29">
        <f t="shared" si="140"/>
        <v>9</v>
      </c>
      <c r="F134" s="49">
        <f t="shared" si="140"/>
        <v>13.208320000000001</v>
      </c>
      <c r="G134" s="31">
        <f t="shared" si="140"/>
        <v>100.13221</v>
      </c>
      <c r="H134" s="32">
        <f t="shared" si="140"/>
        <v>15.7</v>
      </c>
      <c r="I134" s="27">
        <f t="shared" si="140"/>
        <v>3</v>
      </c>
      <c r="J134" s="33" t="s">
        <v>51</v>
      </c>
      <c r="K134" s="32">
        <v>7</v>
      </c>
      <c r="L134" s="34"/>
      <c r="M134" s="35"/>
      <c r="N134" s="50">
        <f t="shared" ref="N134:N135" si="141">N133</f>
        <v>2.2000000000000002</v>
      </c>
      <c r="O134" s="37">
        <v>28.5</v>
      </c>
      <c r="P134" s="38">
        <v>28.605</v>
      </c>
      <c r="Q134" s="51">
        <v>28.61</v>
      </c>
      <c r="R134" s="38">
        <v>8.01</v>
      </c>
      <c r="S134" s="38">
        <v>8.07</v>
      </c>
      <c r="T134" s="37">
        <v>27.1</v>
      </c>
      <c r="U134" s="38">
        <v>29.863</v>
      </c>
      <c r="V134" s="52">
        <v>29.81</v>
      </c>
      <c r="W134" s="38">
        <v>7.64</v>
      </c>
      <c r="X134" s="38">
        <v>7.2270000000000003</v>
      </c>
      <c r="Y134" s="38">
        <v>6.56</v>
      </c>
      <c r="Z134" s="38">
        <f t="shared" si="96"/>
        <v>6.4472432487685589</v>
      </c>
      <c r="AA134" s="41">
        <v>7.6</v>
      </c>
      <c r="AB134" s="53"/>
      <c r="AC134" s="42">
        <v>2.2999999999999998</v>
      </c>
      <c r="AD134" s="43">
        <v>3.77</v>
      </c>
      <c r="AF134" s="115"/>
      <c r="AG134" s="143"/>
      <c r="AH134" s="117"/>
      <c r="AI134" s="113"/>
      <c r="AJ134" s="147"/>
      <c r="AK134" s="147"/>
      <c r="AL134" s="147"/>
      <c r="AM134" s="147"/>
      <c r="AN134" s="112"/>
      <c r="AO134" s="112"/>
      <c r="AP134" s="108"/>
      <c r="AQ134" s="45">
        <v>0.91579999999999995</v>
      </c>
      <c r="AR134" s="46">
        <v>19.267399999999999</v>
      </c>
      <c r="AS134" s="46">
        <v>0.30120000000000002</v>
      </c>
      <c r="AT134" s="46">
        <v>0.80920000000000003</v>
      </c>
      <c r="AU134" s="46">
        <v>2.1916000000000002</v>
      </c>
      <c r="AV134" s="47">
        <v>179.13990000000001</v>
      </c>
      <c r="AW134" s="46"/>
      <c r="AX134" s="46"/>
      <c r="AY134" s="48"/>
    </row>
    <row r="135" spans="1:51" customFormat="1" ht="14.25" customHeight="1" x14ac:dyDescent="0.45">
      <c r="A135" s="26">
        <f t="shared" ref="A135:I135" si="142">A134</f>
        <v>2024</v>
      </c>
      <c r="B135" s="27">
        <f t="shared" si="142"/>
        <v>12</v>
      </c>
      <c r="C135" s="27">
        <f t="shared" si="142"/>
        <v>1</v>
      </c>
      <c r="D135" s="28">
        <f t="shared" si="142"/>
        <v>0.58680555555555558</v>
      </c>
      <c r="E135" s="29">
        <f t="shared" si="142"/>
        <v>9</v>
      </c>
      <c r="F135" s="49">
        <f t="shared" si="142"/>
        <v>13.208320000000001</v>
      </c>
      <c r="G135" s="31">
        <f t="shared" si="142"/>
        <v>100.13221</v>
      </c>
      <c r="H135" s="32">
        <f t="shared" si="142"/>
        <v>15.7</v>
      </c>
      <c r="I135" s="27">
        <f t="shared" si="142"/>
        <v>3</v>
      </c>
      <c r="J135" s="33" t="s">
        <v>52</v>
      </c>
      <c r="K135" s="32">
        <v>14</v>
      </c>
      <c r="L135" s="34"/>
      <c r="M135" s="35"/>
      <c r="N135" s="50">
        <f t="shared" si="141"/>
        <v>2.2000000000000002</v>
      </c>
      <c r="O135" s="37">
        <v>28.3</v>
      </c>
      <c r="P135" s="38">
        <v>28.797999999999998</v>
      </c>
      <c r="Q135" s="51">
        <v>28.81</v>
      </c>
      <c r="R135" s="38">
        <v>7.89</v>
      </c>
      <c r="S135" s="38">
        <v>8.0299999999999994</v>
      </c>
      <c r="T135" s="37">
        <v>27.6</v>
      </c>
      <c r="U135" s="38">
        <v>30.498000000000001</v>
      </c>
      <c r="V135" s="52">
        <v>30.41</v>
      </c>
      <c r="W135" s="38">
        <v>6.08</v>
      </c>
      <c r="X135" s="38">
        <v>6.27</v>
      </c>
      <c r="Y135" s="38">
        <v>5.88</v>
      </c>
      <c r="Z135" s="38">
        <f t="shared" si="96"/>
        <v>5.9125399620669823</v>
      </c>
      <c r="AA135" s="41">
        <v>10.95</v>
      </c>
      <c r="AB135" s="53"/>
      <c r="AC135" s="42">
        <v>1.62</v>
      </c>
      <c r="AD135" s="43">
        <v>2.4900000000000002</v>
      </c>
      <c r="AF135" s="115"/>
      <c r="AG135" s="143"/>
      <c r="AH135" s="117"/>
      <c r="AI135" s="113"/>
      <c r="AJ135" s="147"/>
      <c r="AK135" s="147"/>
      <c r="AL135" s="147"/>
      <c r="AM135" s="147"/>
      <c r="AN135" s="112"/>
      <c r="AO135" s="112"/>
      <c r="AP135" s="108"/>
      <c r="AQ135" s="45">
        <v>0.81920000000000004</v>
      </c>
      <c r="AR135" s="46">
        <v>22.5976</v>
      </c>
      <c r="AS135" s="46">
        <v>0.57579999999999998</v>
      </c>
      <c r="AT135" s="46">
        <v>1.4384999999999999</v>
      </c>
      <c r="AU135" s="46">
        <v>2.7202999999999999</v>
      </c>
      <c r="AV135" s="47">
        <v>247.48009999999999</v>
      </c>
      <c r="AW135" s="46"/>
      <c r="AX135" s="46"/>
      <c r="AY135" s="48"/>
    </row>
    <row r="136" spans="1:51" customFormat="1" ht="14.25" customHeight="1" x14ac:dyDescent="0.45">
      <c r="A136" s="26">
        <v>2024</v>
      </c>
      <c r="B136" s="27">
        <v>12</v>
      </c>
      <c r="C136" s="27">
        <v>1</v>
      </c>
      <c r="D136" s="28">
        <v>0.62847222222222221</v>
      </c>
      <c r="E136" s="29">
        <v>8</v>
      </c>
      <c r="F136" s="30">
        <v>13.24597</v>
      </c>
      <c r="G136" s="31">
        <v>100.13455999999999</v>
      </c>
      <c r="H136" s="32">
        <v>13.1</v>
      </c>
      <c r="I136" s="27">
        <v>3</v>
      </c>
      <c r="J136" s="33" t="s">
        <v>47</v>
      </c>
      <c r="K136" s="32">
        <v>1</v>
      </c>
      <c r="L136" s="34">
        <v>4</v>
      </c>
      <c r="M136" s="35" t="s">
        <v>71</v>
      </c>
      <c r="N136" s="36">
        <v>1.8</v>
      </c>
      <c r="O136" s="37">
        <v>28.7</v>
      </c>
      <c r="P136" s="38">
        <v>29.17</v>
      </c>
      <c r="Q136" s="51">
        <v>29.19</v>
      </c>
      <c r="R136" s="38">
        <v>8.14</v>
      </c>
      <c r="S136" s="38">
        <v>8.2899999999999991</v>
      </c>
      <c r="T136" s="37">
        <v>26.7</v>
      </c>
      <c r="U136" s="38">
        <v>29.158000000000001</v>
      </c>
      <c r="V136" s="52">
        <v>29.13</v>
      </c>
      <c r="W136" s="38"/>
      <c r="X136" s="38">
        <v>10.856999999999999</v>
      </c>
      <c r="Y136" s="38">
        <v>9.59</v>
      </c>
      <c r="Z136" s="38">
        <f t="shared" si="96"/>
        <v>8.8298181880417594</v>
      </c>
      <c r="AA136" s="41"/>
      <c r="AB136" s="53"/>
      <c r="AC136" s="42">
        <v>5.7</v>
      </c>
      <c r="AD136" s="43">
        <v>7.45</v>
      </c>
      <c r="AF136" s="115"/>
      <c r="AG136" s="143"/>
      <c r="AH136" s="117"/>
      <c r="AI136" s="113"/>
      <c r="AJ136" s="147"/>
      <c r="AK136" s="147"/>
      <c r="AL136" s="147"/>
      <c r="AM136" s="147"/>
      <c r="AN136" s="112"/>
      <c r="AO136" s="112"/>
      <c r="AP136" s="108"/>
      <c r="AQ136" s="45"/>
      <c r="AR136" s="46"/>
      <c r="AS136" s="46"/>
      <c r="AT136" s="46"/>
      <c r="AU136" s="46"/>
      <c r="AV136" s="47"/>
      <c r="AW136" s="46"/>
      <c r="AX136" s="46"/>
      <c r="AY136" s="48" t="s">
        <v>84</v>
      </c>
    </row>
    <row r="137" spans="1:51" customFormat="1" ht="14.25" customHeight="1" x14ac:dyDescent="0.45">
      <c r="A137" s="26">
        <f t="shared" ref="A137:I137" si="143">A136</f>
        <v>2024</v>
      </c>
      <c r="B137" s="27">
        <f t="shared" si="143"/>
        <v>12</v>
      </c>
      <c r="C137" s="27">
        <f t="shared" si="143"/>
        <v>1</v>
      </c>
      <c r="D137" s="28">
        <f t="shared" si="143"/>
        <v>0.62847222222222221</v>
      </c>
      <c r="E137" s="29">
        <f t="shared" si="143"/>
        <v>8</v>
      </c>
      <c r="F137" s="49">
        <f t="shared" si="143"/>
        <v>13.24597</v>
      </c>
      <c r="G137" s="31">
        <f t="shared" si="143"/>
        <v>100.13455999999999</v>
      </c>
      <c r="H137" s="32">
        <f t="shared" si="143"/>
        <v>13.1</v>
      </c>
      <c r="I137" s="27">
        <f t="shared" si="143"/>
        <v>3</v>
      </c>
      <c r="J137" s="33" t="s">
        <v>51</v>
      </c>
      <c r="K137" s="32">
        <v>6.5</v>
      </c>
      <c r="L137" s="34"/>
      <c r="M137" s="35"/>
      <c r="N137" s="50">
        <f t="shared" ref="N137:N138" si="144">N136</f>
        <v>1.8</v>
      </c>
      <c r="O137" s="37">
        <v>28.4</v>
      </c>
      <c r="P137" s="38">
        <v>28.741</v>
      </c>
      <c r="Q137" s="51">
        <v>28.75</v>
      </c>
      <c r="R137" s="38">
        <v>7.92</v>
      </c>
      <c r="S137" s="38">
        <v>8.07</v>
      </c>
      <c r="T137" s="37">
        <v>27.6</v>
      </c>
      <c r="U137" s="38">
        <v>30.215</v>
      </c>
      <c r="V137" s="52">
        <v>30.13</v>
      </c>
      <c r="W137" s="38"/>
      <c r="X137" s="38">
        <v>6.5869999999999997</v>
      </c>
      <c r="Y137" s="38">
        <v>6.1</v>
      </c>
      <c r="Z137" s="38">
        <f t="shared" si="96"/>
        <v>6.0855322018821978</v>
      </c>
      <c r="AA137" s="41"/>
      <c r="AB137" s="53"/>
      <c r="AC137" s="42">
        <v>2.27</v>
      </c>
      <c r="AD137" s="43">
        <v>4.1100000000000003</v>
      </c>
      <c r="AF137" s="115"/>
      <c r="AG137" s="143"/>
      <c r="AH137" s="117"/>
      <c r="AI137" s="113"/>
      <c r="AJ137" s="147"/>
      <c r="AK137" s="147"/>
      <c r="AL137" s="147"/>
      <c r="AM137" s="147"/>
      <c r="AN137" s="112"/>
      <c r="AO137" s="112"/>
      <c r="AP137" s="108"/>
      <c r="AQ137" s="45"/>
      <c r="AR137" s="46"/>
      <c r="AS137" s="46"/>
      <c r="AT137" s="46"/>
      <c r="AU137" s="46"/>
      <c r="AV137" s="47"/>
      <c r="AW137" s="46"/>
      <c r="AX137" s="46"/>
      <c r="AY137" s="48"/>
    </row>
    <row r="138" spans="1:51" customFormat="1" ht="14.25" customHeight="1" x14ac:dyDescent="0.45">
      <c r="A138" s="26">
        <f t="shared" ref="A138:I138" si="145">A137</f>
        <v>2024</v>
      </c>
      <c r="B138" s="27">
        <f t="shared" si="145"/>
        <v>12</v>
      </c>
      <c r="C138" s="27">
        <f t="shared" si="145"/>
        <v>1</v>
      </c>
      <c r="D138" s="28">
        <f t="shared" si="145"/>
        <v>0.62847222222222221</v>
      </c>
      <c r="E138" s="29">
        <f t="shared" si="145"/>
        <v>8</v>
      </c>
      <c r="F138" s="49">
        <f t="shared" si="145"/>
        <v>13.24597</v>
      </c>
      <c r="G138" s="31">
        <f t="shared" si="145"/>
        <v>100.13455999999999</v>
      </c>
      <c r="H138" s="32">
        <f t="shared" si="145"/>
        <v>13.1</v>
      </c>
      <c r="I138" s="27">
        <f t="shared" si="145"/>
        <v>3</v>
      </c>
      <c r="J138" s="33" t="s">
        <v>52</v>
      </c>
      <c r="K138" s="32">
        <v>12</v>
      </c>
      <c r="L138" s="34"/>
      <c r="M138" s="35"/>
      <c r="N138" s="50">
        <f t="shared" si="144"/>
        <v>1.8</v>
      </c>
      <c r="O138" s="37">
        <v>28.6</v>
      </c>
      <c r="P138" s="38">
        <v>28.800999999999998</v>
      </c>
      <c r="Q138" s="51">
        <v>28.8</v>
      </c>
      <c r="R138" s="38">
        <v>7.89</v>
      </c>
      <c r="S138" s="38">
        <v>8.0299999999999994</v>
      </c>
      <c r="T138" s="37">
        <v>27.7</v>
      </c>
      <c r="U138" s="38">
        <v>30.382999999999999</v>
      </c>
      <c r="V138" s="52">
        <v>30.29</v>
      </c>
      <c r="W138" s="38"/>
      <c r="X138" s="38">
        <v>6.1440000000000001</v>
      </c>
      <c r="Y138" s="38">
        <v>5.71</v>
      </c>
      <c r="Z138" s="38">
        <f t="shared" si="96"/>
        <v>5.7788641403915886</v>
      </c>
      <c r="AA138" s="41"/>
      <c r="AB138" s="53"/>
      <c r="AC138" s="42">
        <v>1.53</v>
      </c>
      <c r="AD138" s="43">
        <v>3.16</v>
      </c>
      <c r="AF138" s="115"/>
      <c r="AG138" s="143"/>
      <c r="AH138" s="117"/>
      <c r="AI138" s="113"/>
      <c r="AJ138" s="147"/>
      <c r="AK138" s="147"/>
      <c r="AL138" s="147"/>
      <c r="AM138" s="147"/>
      <c r="AN138" s="112"/>
      <c r="AO138" s="112"/>
      <c r="AP138" s="108"/>
      <c r="AQ138" s="45"/>
      <c r="AR138" s="46"/>
      <c r="AS138" s="46"/>
      <c r="AT138" s="46"/>
      <c r="AU138" s="46"/>
      <c r="AV138" s="47"/>
      <c r="AW138" s="46"/>
      <c r="AX138" s="46"/>
      <c r="AY138" s="48"/>
    </row>
    <row r="139" spans="1:51" customFormat="1" ht="14.25" customHeight="1" x14ac:dyDescent="0.45">
      <c r="A139" s="26">
        <v>2024</v>
      </c>
      <c r="B139" s="27">
        <v>12</v>
      </c>
      <c r="C139" s="27">
        <v>1</v>
      </c>
      <c r="D139" s="28">
        <v>0.64652777777777781</v>
      </c>
      <c r="E139" s="29">
        <v>4</v>
      </c>
      <c r="F139" s="30">
        <v>13.28974</v>
      </c>
      <c r="G139" s="31">
        <v>100.1326</v>
      </c>
      <c r="H139" s="32">
        <v>11.3</v>
      </c>
      <c r="I139" s="27">
        <v>3</v>
      </c>
      <c r="J139" s="33" t="s">
        <v>47</v>
      </c>
      <c r="K139" s="32">
        <v>1</v>
      </c>
      <c r="L139" s="34">
        <v>2</v>
      </c>
      <c r="M139" s="35" t="s">
        <v>71</v>
      </c>
      <c r="N139" s="36">
        <v>1.8</v>
      </c>
      <c r="O139" s="37">
        <v>28.9</v>
      </c>
      <c r="P139" s="38">
        <v>28.846</v>
      </c>
      <c r="Q139" s="51">
        <v>28.85</v>
      </c>
      <c r="R139" s="38">
        <v>8.09</v>
      </c>
      <c r="S139" s="38">
        <v>8.24</v>
      </c>
      <c r="T139" s="37">
        <v>26.2</v>
      </c>
      <c r="U139" s="38">
        <v>28.567</v>
      </c>
      <c r="V139" s="52">
        <v>28.55</v>
      </c>
      <c r="W139" s="38">
        <v>9.2899999999999991</v>
      </c>
      <c r="X139" s="38">
        <v>9.5399999999999991</v>
      </c>
      <c r="Y139" s="38">
        <v>8.94</v>
      </c>
      <c r="Z139" s="38">
        <f t="shared" si="96"/>
        <v>8.3187047522240753</v>
      </c>
      <c r="AA139" s="41">
        <v>9.1</v>
      </c>
      <c r="AB139" s="53">
        <v>2.0922999999999998</v>
      </c>
      <c r="AC139" s="42">
        <v>3.76</v>
      </c>
      <c r="AD139" s="43">
        <v>4.99</v>
      </c>
      <c r="AE139" s="44" t="s">
        <v>49</v>
      </c>
      <c r="AF139" s="120" t="s">
        <v>49</v>
      </c>
      <c r="AG139" s="143"/>
      <c r="AH139" s="117"/>
      <c r="AI139" s="113"/>
      <c r="AJ139" s="147"/>
      <c r="AK139" s="147"/>
      <c r="AL139" s="147"/>
      <c r="AM139" s="147"/>
      <c r="AN139" s="112"/>
      <c r="AO139" s="112"/>
      <c r="AP139" s="108"/>
      <c r="AQ139" s="45">
        <v>1.0608</v>
      </c>
      <c r="AR139" s="46">
        <v>10.766500000000001</v>
      </c>
      <c r="AS139" s="46">
        <v>0.18679999999999999</v>
      </c>
      <c r="AT139" s="46">
        <v>0.85409999999999997</v>
      </c>
      <c r="AU139" s="46">
        <v>1.9182999999999999</v>
      </c>
      <c r="AV139" s="47">
        <v>520.01930000000004</v>
      </c>
      <c r="AW139" s="46"/>
      <c r="AX139" s="46"/>
      <c r="AY139" s="48" t="s">
        <v>85</v>
      </c>
    </row>
    <row r="140" spans="1:51" customFormat="1" ht="14.25" customHeight="1" x14ac:dyDescent="0.45">
      <c r="A140" s="26">
        <f t="shared" ref="A140:I140" si="146">A139</f>
        <v>2024</v>
      </c>
      <c r="B140" s="27">
        <f t="shared" si="146"/>
        <v>12</v>
      </c>
      <c r="C140" s="27">
        <f t="shared" si="146"/>
        <v>1</v>
      </c>
      <c r="D140" s="28">
        <f t="shared" si="146"/>
        <v>0.64652777777777781</v>
      </c>
      <c r="E140" s="29">
        <f t="shared" si="146"/>
        <v>4</v>
      </c>
      <c r="F140" s="49">
        <f t="shared" si="146"/>
        <v>13.28974</v>
      </c>
      <c r="G140" s="31">
        <f t="shared" si="146"/>
        <v>100.1326</v>
      </c>
      <c r="H140" s="32">
        <f t="shared" si="146"/>
        <v>11.3</v>
      </c>
      <c r="I140" s="27">
        <f t="shared" si="146"/>
        <v>3</v>
      </c>
      <c r="J140" s="33" t="s">
        <v>51</v>
      </c>
      <c r="K140" s="32">
        <v>5.5</v>
      </c>
      <c r="L140" s="34"/>
      <c r="M140" s="35"/>
      <c r="N140" s="50">
        <f t="shared" ref="N140:N141" si="147">N139</f>
        <v>1.8</v>
      </c>
      <c r="O140" s="37">
        <v>28.2</v>
      </c>
      <c r="P140" s="38">
        <v>28.544</v>
      </c>
      <c r="Q140" s="51">
        <v>28.75</v>
      </c>
      <c r="R140" s="38">
        <v>8.08</v>
      </c>
      <c r="S140" s="38">
        <v>8.08</v>
      </c>
      <c r="T140" s="37">
        <v>26.4</v>
      </c>
      <c r="U140" s="38">
        <v>29.103999999999999</v>
      </c>
      <c r="V140" s="52">
        <v>29.4</v>
      </c>
      <c r="W140" s="38">
        <v>8.0299999999999994</v>
      </c>
      <c r="X140" s="38">
        <v>7.8239999999999998</v>
      </c>
      <c r="Y140" s="38">
        <v>6.42</v>
      </c>
      <c r="Z140" s="38">
        <f t="shared" si="96"/>
        <v>6.3371572779770577</v>
      </c>
      <c r="AA140" s="41">
        <v>8.5</v>
      </c>
      <c r="AB140" s="53"/>
      <c r="AC140" s="42">
        <v>10.9</v>
      </c>
      <c r="AD140" s="43">
        <v>10.82</v>
      </c>
      <c r="AF140" s="115"/>
      <c r="AG140" s="143"/>
      <c r="AH140" s="117"/>
      <c r="AI140" s="113"/>
      <c r="AJ140" s="147"/>
      <c r="AK140" s="147"/>
      <c r="AL140" s="147"/>
      <c r="AM140" s="147"/>
      <c r="AN140" s="112"/>
      <c r="AO140" s="112"/>
      <c r="AP140" s="108"/>
      <c r="AQ140" s="45">
        <v>1.1091</v>
      </c>
      <c r="AR140" s="46">
        <v>5.9462999999999999</v>
      </c>
      <c r="AS140" s="46">
        <v>0.14099999999999999</v>
      </c>
      <c r="AT140" s="46">
        <v>1.0789</v>
      </c>
      <c r="AU140" s="46">
        <v>2.0194000000000001</v>
      </c>
      <c r="AV140" s="47">
        <v>380.71940000000001</v>
      </c>
      <c r="AW140" s="46"/>
      <c r="AX140" s="46"/>
      <c r="AY140" s="48"/>
    </row>
    <row r="141" spans="1:51" customFormat="1" ht="14.25" customHeight="1" x14ac:dyDescent="0.45">
      <c r="A141" s="26">
        <f t="shared" ref="A141:I141" si="148">A140</f>
        <v>2024</v>
      </c>
      <c r="B141" s="27">
        <f t="shared" si="148"/>
        <v>12</v>
      </c>
      <c r="C141" s="27">
        <f t="shared" si="148"/>
        <v>1</v>
      </c>
      <c r="D141" s="28">
        <f t="shared" si="148"/>
        <v>0.64652777777777781</v>
      </c>
      <c r="E141" s="29">
        <f t="shared" si="148"/>
        <v>4</v>
      </c>
      <c r="F141" s="49">
        <f t="shared" si="148"/>
        <v>13.28974</v>
      </c>
      <c r="G141" s="31">
        <f t="shared" si="148"/>
        <v>100.1326</v>
      </c>
      <c r="H141" s="32">
        <f t="shared" si="148"/>
        <v>11.3</v>
      </c>
      <c r="I141" s="27">
        <f t="shared" si="148"/>
        <v>3</v>
      </c>
      <c r="J141" s="33" t="s">
        <v>52</v>
      </c>
      <c r="K141" s="32">
        <v>10</v>
      </c>
      <c r="L141" s="34"/>
      <c r="M141" s="35"/>
      <c r="N141" s="50">
        <f t="shared" si="147"/>
        <v>1.8</v>
      </c>
      <c r="O141" s="37">
        <v>28.3</v>
      </c>
      <c r="P141" s="38">
        <v>29.02</v>
      </c>
      <c r="Q141" s="51">
        <v>29.03</v>
      </c>
      <c r="R141" s="38">
        <v>8</v>
      </c>
      <c r="S141" s="38">
        <v>7.98</v>
      </c>
      <c r="T141" s="37">
        <v>26.7</v>
      </c>
      <c r="U141" s="38">
        <v>30.189</v>
      </c>
      <c r="V141" s="52">
        <v>30.12</v>
      </c>
      <c r="W141" s="38">
        <v>6.3</v>
      </c>
      <c r="X141" s="38">
        <v>5.3650000000000002</v>
      </c>
      <c r="Y141" s="38">
        <v>5.04</v>
      </c>
      <c r="Z141" s="38">
        <f t="shared" si="96"/>
        <v>5.2520241373179761</v>
      </c>
      <c r="AA141" s="41">
        <v>12.5</v>
      </c>
      <c r="AB141" s="53"/>
      <c r="AC141" s="42">
        <v>1.27</v>
      </c>
      <c r="AD141" s="43">
        <v>2.63</v>
      </c>
      <c r="AF141" s="115"/>
      <c r="AG141" s="143"/>
      <c r="AH141" s="117"/>
      <c r="AI141" s="113"/>
      <c r="AJ141" s="147"/>
      <c r="AK141" s="147"/>
      <c r="AL141" s="147"/>
      <c r="AM141" s="147"/>
      <c r="AN141" s="112"/>
      <c r="AO141" s="112"/>
      <c r="AP141" s="108"/>
      <c r="AQ141" s="45">
        <v>1.1091</v>
      </c>
      <c r="AR141" s="46">
        <v>17.514600000000002</v>
      </c>
      <c r="AS141" s="46">
        <v>0.46139999999999998</v>
      </c>
      <c r="AT141" s="46">
        <v>1.3486</v>
      </c>
      <c r="AU141" s="46">
        <v>3.8041</v>
      </c>
      <c r="AV141" s="47">
        <v>351.00189999999998</v>
      </c>
      <c r="AW141" s="46"/>
      <c r="AX141" s="46"/>
      <c r="AY141" s="48"/>
    </row>
    <row r="142" spans="1:51" customFormat="1" ht="14.25" customHeight="1" x14ac:dyDescent="0.45">
      <c r="A142" s="26">
        <v>2024</v>
      </c>
      <c r="B142" s="27">
        <v>12</v>
      </c>
      <c r="C142" s="27">
        <v>1</v>
      </c>
      <c r="D142" s="28">
        <v>0.69791666666666663</v>
      </c>
      <c r="E142" s="29" t="s">
        <v>86</v>
      </c>
      <c r="F142" s="30">
        <v>13.290050000000001</v>
      </c>
      <c r="G142" s="31">
        <v>100.19901</v>
      </c>
      <c r="H142" s="32">
        <v>12</v>
      </c>
      <c r="I142" s="27">
        <v>3</v>
      </c>
      <c r="J142" s="33" t="s">
        <v>47</v>
      </c>
      <c r="K142" s="32">
        <v>1</v>
      </c>
      <c r="L142" s="34">
        <v>2</v>
      </c>
      <c r="M142" s="35" t="s">
        <v>71</v>
      </c>
      <c r="N142" s="36">
        <v>1.1000000000000001</v>
      </c>
      <c r="O142" s="37">
        <v>28.6</v>
      </c>
      <c r="P142" s="38">
        <v>29.050999999999998</v>
      </c>
      <c r="Q142" s="51">
        <v>29.05</v>
      </c>
      <c r="R142" s="38">
        <v>8.3000000000000007</v>
      </c>
      <c r="S142" s="38">
        <v>8.43</v>
      </c>
      <c r="T142" s="37">
        <v>26.2</v>
      </c>
      <c r="U142" s="38">
        <v>28.606999999999999</v>
      </c>
      <c r="V142" s="52">
        <v>28.6</v>
      </c>
      <c r="W142" s="38">
        <v>12.18</v>
      </c>
      <c r="X142" s="38">
        <v>13.208</v>
      </c>
      <c r="Y142" s="38">
        <v>12.6</v>
      </c>
      <c r="Z142" s="38">
        <f t="shared" si="96"/>
        <v>11.196666560059032</v>
      </c>
      <c r="AA142" s="41">
        <v>11.85</v>
      </c>
      <c r="AB142" s="53">
        <v>2.1297000000000001</v>
      </c>
      <c r="AC142" s="42">
        <v>7.73</v>
      </c>
      <c r="AD142" s="43">
        <v>8.58</v>
      </c>
      <c r="AF142" s="115"/>
      <c r="AG142" s="143"/>
      <c r="AH142" s="117"/>
      <c r="AI142" s="113"/>
      <c r="AJ142" s="147"/>
      <c r="AK142" s="147"/>
      <c r="AL142" s="147"/>
      <c r="AM142" s="147"/>
      <c r="AN142" s="112"/>
      <c r="AO142" s="112"/>
      <c r="AP142" s="108"/>
      <c r="AQ142" s="45"/>
      <c r="AR142" s="46"/>
      <c r="AS142" s="46"/>
      <c r="AT142" s="46"/>
      <c r="AU142" s="46"/>
      <c r="AV142" s="47"/>
      <c r="AW142" s="46"/>
      <c r="AX142" s="46"/>
      <c r="AY142" s="48" t="s">
        <v>85</v>
      </c>
    </row>
    <row r="143" spans="1:51" customFormat="1" ht="14.25" customHeight="1" x14ac:dyDescent="0.45">
      <c r="A143" s="26">
        <f t="shared" ref="A143:I143" si="149">A142</f>
        <v>2024</v>
      </c>
      <c r="B143" s="27">
        <f t="shared" si="149"/>
        <v>12</v>
      </c>
      <c r="C143" s="27">
        <f t="shared" si="149"/>
        <v>1</v>
      </c>
      <c r="D143" s="28">
        <f t="shared" si="149"/>
        <v>0.69791666666666663</v>
      </c>
      <c r="E143" s="29" t="str">
        <f t="shared" si="149"/>
        <v>C5</v>
      </c>
      <c r="F143" s="49">
        <f t="shared" si="149"/>
        <v>13.290050000000001</v>
      </c>
      <c r="G143" s="31">
        <f t="shared" si="149"/>
        <v>100.19901</v>
      </c>
      <c r="H143" s="32">
        <f t="shared" si="149"/>
        <v>12</v>
      </c>
      <c r="I143" s="27">
        <f t="shared" si="149"/>
        <v>3</v>
      </c>
      <c r="J143" s="33" t="s">
        <v>51</v>
      </c>
      <c r="K143" s="32">
        <v>6</v>
      </c>
      <c r="L143" s="34"/>
      <c r="M143" s="35"/>
      <c r="N143" s="50">
        <f t="shared" ref="N143:N144" si="150">N142</f>
        <v>1.1000000000000001</v>
      </c>
      <c r="O143" s="37">
        <v>28.5</v>
      </c>
      <c r="P143" s="38">
        <v>28.689</v>
      </c>
      <c r="Q143" s="51">
        <v>28.69</v>
      </c>
      <c r="R143" s="38">
        <v>8.23</v>
      </c>
      <c r="S143" s="38">
        <v>8.0500000000000007</v>
      </c>
      <c r="T143" s="37">
        <v>26.5</v>
      </c>
      <c r="U143" s="38">
        <v>30.065000000000001</v>
      </c>
      <c r="V143" s="52">
        <v>30.17</v>
      </c>
      <c r="W143" s="38">
        <v>9.7200000000000006</v>
      </c>
      <c r="X143" s="38">
        <v>7.2110000000000003</v>
      </c>
      <c r="Y143" s="38">
        <v>6.17</v>
      </c>
      <c r="Z143" s="38">
        <f t="shared" si="96"/>
        <v>6.1405751872779488</v>
      </c>
      <c r="AA143" s="41">
        <v>8</v>
      </c>
      <c r="AB143" s="53"/>
      <c r="AC143" s="42">
        <v>6.08</v>
      </c>
      <c r="AD143" s="43">
        <v>3.94</v>
      </c>
      <c r="AF143" s="115"/>
      <c r="AG143" s="143"/>
      <c r="AH143" s="117"/>
      <c r="AI143" s="113"/>
      <c r="AJ143" s="147"/>
      <c r="AK143" s="147"/>
      <c r="AL143" s="147"/>
      <c r="AM143" s="147"/>
      <c r="AN143" s="112"/>
      <c r="AO143" s="112"/>
      <c r="AP143" s="108"/>
      <c r="AQ143" s="45"/>
      <c r="AR143" s="46"/>
      <c r="AS143" s="46"/>
      <c r="AT143" s="46"/>
      <c r="AU143" s="46"/>
      <c r="AV143" s="47"/>
      <c r="AW143" s="46"/>
      <c r="AX143" s="46"/>
      <c r="AY143" s="48"/>
    </row>
    <row r="144" spans="1:51" customFormat="1" ht="14.25" customHeight="1" x14ac:dyDescent="0.45">
      <c r="A144" s="26">
        <f t="shared" ref="A144:I144" si="151">A143</f>
        <v>2024</v>
      </c>
      <c r="B144" s="27">
        <f t="shared" si="151"/>
        <v>12</v>
      </c>
      <c r="C144" s="27">
        <f t="shared" si="151"/>
        <v>1</v>
      </c>
      <c r="D144" s="28">
        <f t="shared" si="151"/>
        <v>0.69791666666666663</v>
      </c>
      <c r="E144" s="29" t="str">
        <f t="shared" si="151"/>
        <v>C5</v>
      </c>
      <c r="F144" s="49">
        <f t="shared" si="151"/>
        <v>13.290050000000001</v>
      </c>
      <c r="G144" s="31">
        <f t="shared" si="151"/>
        <v>100.19901</v>
      </c>
      <c r="H144" s="32">
        <f t="shared" si="151"/>
        <v>12</v>
      </c>
      <c r="I144" s="27">
        <f t="shared" si="151"/>
        <v>3</v>
      </c>
      <c r="J144" s="33" t="s">
        <v>52</v>
      </c>
      <c r="K144" s="32">
        <v>11</v>
      </c>
      <c r="L144" s="34"/>
      <c r="M144" s="35"/>
      <c r="N144" s="50">
        <f t="shared" si="150"/>
        <v>1.1000000000000001</v>
      </c>
      <c r="O144" s="37">
        <v>28.3</v>
      </c>
      <c r="P144" s="38">
        <v>28.995999999999999</v>
      </c>
      <c r="Q144" s="51">
        <v>29</v>
      </c>
      <c r="R144" s="38">
        <v>8.0299999999999994</v>
      </c>
      <c r="S144" s="38">
        <v>7.98</v>
      </c>
      <c r="T144" s="37">
        <v>27.2</v>
      </c>
      <c r="U144" s="38">
        <v>30.803000000000001</v>
      </c>
      <c r="V144" s="52">
        <v>30.74</v>
      </c>
      <c r="W144" s="38">
        <v>7.56</v>
      </c>
      <c r="X144" s="38">
        <v>5.54</v>
      </c>
      <c r="Y144" s="38">
        <v>5.42</v>
      </c>
      <c r="Z144" s="38">
        <f t="shared" si="96"/>
        <v>5.550828915180622</v>
      </c>
      <c r="AA144" s="41">
        <v>8.75</v>
      </c>
      <c r="AB144" s="53"/>
      <c r="AC144" s="42">
        <v>1.57</v>
      </c>
      <c r="AD144" s="43">
        <v>2.4</v>
      </c>
      <c r="AF144" s="115"/>
      <c r="AG144" s="143"/>
      <c r="AH144" s="117"/>
      <c r="AI144" s="113"/>
      <c r="AJ144" s="147"/>
      <c r="AK144" s="147"/>
      <c r="AL144" s="147"/>
      <c r="AM144" s="147"/>
      <c r="AN144" s="112"/>
      <c r="AO144" s="112"/>
      <c r="AP144" s="108"/>
      <c r="AQ144" s="45"/>
      <c r="AR144" s="46"/>
      <c r="AS144" s="46"/>
      <c r="AT144" s="46"/>
      <c r="AU144" s="46"/>
      <c r="AV144" s="47"/>
      <c r="AW144" s="46"/>
      <c r="AX144" s="46"/>
      <c r="AY144" s="48"/>
    </row>
    <row r="145" spans="1:51" customFormat="1" ht="14.25" customHeight="1" x14ac:dyDescent="0.45">
      <c r="A145" s="26">
        <v>2024</v>
      </c>
      <c r="B145" s="27">
        <v>12</v>
      </c>
      <c r="C145" s="27">
        <v>1</v>
      </c>
      <c r="D145" s="28">
        <v>0.72916666666666663</v>
      </c>
      <c r="E145" s="29" t="s">
        <v>87</v>
      </c>
      <c r="F145" s="30">
        <v>13.32832</v>
      </c>
      <c r="G145" s="31">
        <v>100.17045</v>
      </c>
      <c r="H145" s="32">
        <v>9.6999999999999993</v>
      </c>
      <c r="I145" s="27">
        <v>3</v>
      </c>
      <c r="J145" s="33" t="s">
        <v>47</v>
      </c>
      <c r="K145" s="32">
        <v>1</v>
      </c>
      <c r="L145" s="34">
        <v>2</v>
      </c>
      <c r="M145" s="35" t="s">
        <v>71</v>
      </c>
      <c r="N145" s="36">
        <v>2.2000000000000002</v>
      </c>
      <c r="O145" s="37">
        <v>28.3</v>
      </c>
      <c r="P145" s="38">
        <v>28.713999999999999</v>
      </c>
      <c r="Q145" s="51">
        <v>28.69</v>
      </c>
      <c r="R145" s="38">
        <v>8.14</v>
      </c>
      <c r="S145" s="38">
        <v>8.2799999999999994</v>
      </c>
      <c r="T145" s="37">
        <v>25.7</v>
      </c>
      <c r="U145" s="38">
        <v>28.07</v>
      </c>
      <c r="V145" s="52">
        <v>28.05</v>
      </c>
      <c r="W145" s="38">
        <v>9.0399999999999991</v>
      </c>
      <c r="X145" s="38">
        <v>9.4339999999999993</v>
      </c>
      <c r="Y145" s="38">
        <v>8.8699999999999992</v>
      </c>
      <c r="Z145" s="38">
        <f t="shared" si="96"/>
        <v>8.2636617668283243</v>
      </c>
      <c r="AA145" s="41">
        <v>7.55</v>
      </c>
      <c r="AB145" s="53">
        <v>1.8694999999999999</v>
      </c>
      <c r="AC145" s="42">
        <v>4.3099999999999996</v>
      </c>
      <c r="AD145" s="43">
        <v>5.46</v>
      </c>
      <c r="AE145" s="44" t="s">
        <v>49</v>
      </c>
      <c r="AF145" s="115"/>
      <c r="AG145" s="143"/>
      <c r="AH145" s="117"/>
      <c r="AI145" s="113"/>
      <c r="AJ145" s="147"/>
      <c r="AK145" s="147"/>
      <c r="AL145" s="147"/>
      <c r="AM145" s="147"/>
      <c r="AN145" s="112"/>
      <c r="AO145" s="112"/>
      <c r="AP145" s="108"/>
      <c r="AQ145" s="45"/>
      <c r="AR145" s="46"/>
      <c r="AS145" s="46"/>
      <c r="AT145" s="46"/>
      <c r="AU145" s="46"/>
      <c r="AV145" s="47"/>
      <c r="AW145" s="46"/>
      <c r="AX145" s="46"/>
      <c r="AY145" s="48" t="s">
        <v>88</v>
      </c>
    </row>
    <row r="146" spans="1:51" customFormat="1" ht="14.25" customHeight="1" x14ac:dyDescent="0.45">
      <c r="A146" s="26">
        <f t="shared" ref="A146:I146" si="152">A145</f>
        <v>2024</v>
      </c>
      <c r="B146" s="27">
        <f t="shared" si="152"/>
        <v>12</v>
      </c>
      <c r="C146" s="27">
        <f t="shared" si="152"/>
        <v>1</v>
      </c>
      <c r="D146" s="28">
        <f t="shared" si="152"/>
        <v>0.72916666666666663</v>
      </c>
      <c r="E146" s="29" t="str">
        <f t="shared" si="152"/>
        <v>C6</v>
      </c>
      <c r="F146" s="49">
        <f t="shared" si="152"/>
        <v>13.32832</v>
      </c>
      <c r="G146" s="31">
        <f t="shared" si="152"/>
        <v>100.17045</v>
      </c>
      <c r="H146" s="32">
        <f t="shared" si="152"/>
        <v>9.6999999999999993</v>
      </c>
      <c r="I146" s="27">
        <f t="shared" si="152"/>
        <v>3</v>
      </c>
      <c r="J146" s="33" t="s">
        <v>51</v>
      </c>
      <c r="K146" s="32">
        <v>4.5</v>
      </c>
      <c r="L146" s="34"/>
      <c r="M146" s="35"/>
      <c r="N146" s="50">
        <f t="shared" ref="N146:N147" si="153">N145</f>
        <v>2.2000000000000002</v>
      </c>
      <c r="O146" s="37">
        <v>28.2</v>
      </c>
      <c r="P146" s="38">
        <v>28.326000000000001</v>
      </c>
      <c r="Q146" s="51">
        <v>28.37</v>
      </c>
      <c r="R146" s="38">
        <v>8.1300000000000008</v>
      </c>
      <c r="S146" s="38">
        <v>8.1300000000000008</v>
      </c>
      <c r="T146" s="37">
        <v>25.8</v>
      </c>
      <c r="U146" s="38">
        <v>28.779</v>
      </c>
      <c r="V146" s="52">
        <v>28.8</v>
      </c>
      <c r="W146" s="38">
        <v>8.35</v>
      </c>
      <c r="X146" s="38">
        <v>8.33</v>
      </c>
      <c r="Y146" s="38">
        <v>7.6</v>
      </c>
      <c r="Z146" s="38">
        <f t="shared" si="96"/>
        <v>7.2650247460768522</v>
      </c>
      <c r="AA146" s="41">
        <v>7</v>
      </c>
      <c r="AB146" s="53"/>
      <c r="AC146" s="42">
        <v>14.09</v>
      </c>
      <c r="AD146" s="43">
        <v>13.27</v>
      </c>
      <c r="AF146" s="115"/>
      <c r="AG146" s="143"/>
      <c r="AH146" s="117"/>
      <c r="AI146" s="113"/>
      <c r="AJ146" s="147"/>
      <c r="AK146" s="147"/>
      <c r="AL146" s="147"/>
      <c r="AM146" s="147"/>
      <c r="AN146" s="112"/>
      <c r="AO146" s="112"/>
      <c r="AP146" s="108"/>
      <c r="AQ146" s="45"/>
      <c r="AR146" s="46"/>
      <c r="AS146" s="46"/>
      <c r="AT146" s="46"/>
      <c r="AU146" s="46"/>
      <c r="AV146" s="47"/>
      <c r="AW146" s="46"/>
      <c r="AX146" s="46"/>
      <c r="AY146" s="48"/>
    </row>
    <row r="147" spans="1:51" customFormat="1" ht="14.25" customHeight="1" x14ac:dyDescent="0.45">
      <c r="A147" s="26">
        <f t="shared" ref="A147:I147" si="154">A146</f>
        <v>2024</v>
      </c>
      <c r="B147" s="27">
        <f t="shared" si="154"/>
        <v>12</v>
      </c>
      <c r="C147" s="27">
        <f t="shared" si="154"/>
        <v>1</v>
      </c>
      <c r="D147" s="28">
        <f t="shared" si="154"/>
        <v>0.72916666666666663</v>
      </c>
      <c r="E147" s="29" t="str">
        <f t="shared" si="154"/>
        <v>C6</v>
      </c>
      <c r="F147" s="49">
        <f t="shared" si="154"/>
        <v>13.32832</v>
      </c>
      <c r="G147" s="31">
        <f t="shared" si="154"/>
        <v>100.17045</v>
      </c>
      <c r="H147" s="32">
        <f t="shared" si="154"/>
        <v>9.6999999999999993</v>
      </c>
      <c r="I147" s="27">
        <f t="shared" si="154"/>
        <v>3</v>
      </c>
      <c r="J147" s="33" t="s">
        <v>52</v>
      </c>
      <c r="K147" s="32">
        <v>8</v>
      </c>
      <c r="L147" s="34"/>
      <c r="M147" s="35"/>
      <c r="N147" s="50">
        <f t="shared" si="153"/>
        <v>2.2000000000000002</v>
      </c>
      <c r="O147" s="37">
        <v>28</v>
      </c>
      <c r="P147" s="38">
        <v>29.039000000000001</v>
      </c>
      <c r="Q147" s="51">
        <v>29.04</v>
      </c>
      <c r="R147" s="38">
        <v>8.02</v>
      </c>
      <c r="S147" s="38">
        <v>7.97</v>
      </c>
      <c r="T147" s="37">
        <v>26.5</v>
      </c>
      <c r="U147" s="38">
        <v>30.109000000000002</v>
      </c>
      <c r="V147" s="52">
        <v>30.03</v>
      </c>
      <c r="W147" s="38">
        <v>5.25</v>
      </c>
      <c r="X147" s="38">
        <v>5.048</v>
      </c>
      <c r="Y147" s="38">
        <v>4.78</v>
      </c>
      <c r="Z147" s="38">
        <f t="shared" si="96"/>
        <v>5.0475787629909039</v>
      </c>
      <c r="AA147" s="41">
        <v>9.1</v>
      </c>
      <c r="AB147" s="53"/>
      <c r="AC147" s="42">
        <v>1.44</v>
      </c>
      <c r="AD147" s="43">
        <v>2.69</v>
      </c>
      <c r="AF147" s="115"/>
      <c r="AG147" s="143"/>
      <c r="AH147" s="117"/>
      <c r="AI147" s="113"/>
      <c r="AJ147" s="147"/>
      <c r="AK147" s="147"/>
      <c r="AL147" s="147"/>
      <c r="AM147" s="147"/>
      <c r="AN147" s="112"/>
      <c r="AO147" s="112"/>
      <c r="AP147" s="108"/>
      <c r="AQ147" s="45"/>
      <c r="AR147" s="46"/>
      <c r="AS147" s="46"/>
      <c r="AT147" s="46"/>
      <c r="AU147" s="46"/>
      <c r="AV147" s="47"/>
      <c r="AW147" s="46"/>
      <c r="AX147" s="46"/>
      <c r="AY147" s="48"/>
    </row>
    <row r="148" spans="1:51" customFormat="1" ht="14.25" customHeight="1" x14ac:dyDescent="0.45">
      <c r="A148" s="26">
        <v>2024</v>
      </c>
      <c r="B148" s="27">
        <v>12</v>
      </c>
      <c r="C148" s="27">
        <v>1</v>
      </c>
      <c r="D148" s="28">
        <v>0.75</v>
      </c>
      <c r="E148" s="29" t="s">
        <v>89</v>
      </c>
      <c r="F148" s="30">
        <v>13.35679</v>
      </c>
      <c r="G148" s="31">
        <v>100.14187</v>
      </c>
      <c r="H148" s="32">
        <v>7.7</v>
      </c>
      <c r="I148" s="27">
        <v>3</v>
      </c>
      <c r="J148" s="33" t="s">
        <v>47</v>
      </c>
      <c r="K148" s="32">
        <v>1</v>
      </c>
      <c r="L148" s="34">
        <v>8</v>
      </c>
      <c r="M148" s="35" t="s">
        <v>71</v>
      </c>
      <c r="N148" s="36">
        <v>1.8</v>
      </c>
      <c r="O148" s="37">
        <v>28</v>
      </c>
      <c r="P148" s="38">
        <v>28.54</v>
      </c>
      <c r="Q148" s="51">
        <v>28.54</v>
      </c>
      <c r="R148" s="38">
        <v>8.0399999999999991</v>
      </c>
      <c r="S148" s="38">
        <v>8.2200000000000006</v>
      </c>
      <c r="T148" s="37">
        <v>25.6</v>
      </c>
      <c r="U148" s="38">
        <v>27.97</v>
      </c>
      <c r="V148" s="52">
        <v>27.96</v>
      </c>
      <c r="W148" s="38">
        <v>7.48</v>
      </c>
      <c r="X148" s="38">
        <v>8.7050000000000001</v>
      </c>
      <c r="Y148" s="38">
        <v>7.75</v>
      </c>
      <c r="Z148" s="38">
        <f t="shared" si="96"/>
        <v>7.3829740004963176</v>
      </c>
      <c r="AA148" s="41">
        <v>7.35</v>
      </c>
      <c r="AB148" s="53">
        <v>1.6053999999999999</v>
      </c>
      <c r="AC148" s="42">
        <v>2.9</v>
      </c>
      <c r="AD148" s="43">
        <v>3.4</v>
      </c>
      <c r="AF148" s="115"/>
      <c r="AG148" s="143"/>
      <c r="AH148" s="117"/>
      <c r="AI148" s="113"/>
      <c r="AJ148" s="147"/>
      <c r="AK148" s="147"/>
      <c r="AL148" s="147"/>
      <c r="AM148" s="147"/>
      <c r="AN148" s="112"/>
      <c r="AO148" s="112"/>
      <c r="AP148" s="108"/>
      <c r="AQ148" s="45"/>
      <c r="AR148" s="46"/>
      <c r="AS148" s="46"/>
      <c r="AT148" s="46"/>
      <c r="AU148" s="46"/>
      <c r="AV148" s="47"/>
      <c r="AW148" s="46"/>
      <c r="AX148" s="46"/>
      <c r="AY148" s="48" t="s">
        <v>90</v>
      </c>
    </row>
    <row r="149" spans="1:51" customFormat="1" ht="14.25" customHeight="1" x14ac:dyDescent="0.45">
      <c r="A149" s="26">
        <f t="shared" ref="A149:I149" si="155">A148</f>
        <v>2024</v>
      </c>
      <c r="B149" s="27">
        <f t="shared" si="155"/>
        <v>12</v>
      </c>
      <c r="C149" s="27">
        <f t="shared" si="155"/>
        <v>1</v>
      </c>
      <c r="D149" s="28">
        <f t="shared" si="155"/>
        <v>0.75</v>
      </c>
      <c r="E149" s="29" t="str">
        <f t="shared" si="155"/>
        <v>C7</v>
      </c>
      <c r="F149" s="49">
        <f t="shared" si="155"/>
        <v>13.35679</v>
      </c>
      <c r="G149" s="31">
        <f t="shared" si="155"/>
        <v>100.14187</v>
      </c>
      <c r="H149" s="32">
        <f t="shared" si="155"/>
        <v>7.7</v>
      </c>
      <c r="I149" s="27">
        <f t="shared" si="155"/>
        <v>3</v>
      </c>
      <c r="J149" s="33" t="s">
        <v>51</v>
      </c>
      <c r="K149" s="32">
        <v>3.5</v>
      </c>
      <c r="L149" s="34"/>
      <c r="M149" s="35"/>
      <c r="N149" s="50">
        <f t="shared" ref="N149:N150" si="156">N148</f>
        <v>1.8</v>
      </c>
      <c r="O149" s="37">
        <v>28.1</v>
      </c>
      <c r="P149" s="38">
        <v>28.538</v>
      </c>
      <c r="Q149" s="51">
        <v>28.52</v>
      </c>
      <c r="R149" s="38">
        <v>8.0500000000000007</v>
      </c>
      <c r="S149" s="38">
        <v>8.17</v>
      </c>
      <c r="T149" s="37">
        <v>25.6</v>
      </c>
      <c r="U149" s="38">
        <v>28.103000000000002</v>
      </c>
      <c r="V149" s="52">
        <v>28.08</v>
      </c>
      <c r="W149" s="38">
        <v>7.66</v>
      </c>
      <c r="X149" s="38">
        <v>8.3450000000000006</v>
      </c>
      <c r="Y149" s="38">
        <v>7.64</v>
      </c>
      <c r="Z149" s="38">
        <f t="shared" si="96"/>
        <v>7.2964778805887089</v>
      </c>
      <c r="AA149" s="41">
        <v>8.5</v>
      </c>
      <c r="AB149" s="53"/>
      <c r="AC149" s="42">
        <v>4.4000000000000004</v>
      </c>
      <c r="AD149" s="43">
        <v>4.62</v>
      </c>
      <c r="AF149" s="115"/>
      <c r="AG149" s="143"/>
      <c r="AH149" s="117"/>
      <c r="AI149" s="113"/>
      <c r="AJ149" s="147"/>
      <c r="AK149" s="147"/>
      <c r="AL149" s="147"/>
      <c r="AM149" s="147"/>
      <c r="AN149" s="112"/>
      <c r="AO149" s="112"/>
      <c r="AP149" s="108"/>
      <c r="AQ149" s="45"/>
      <c r="AR149" s="46"/>
      <c r="AS149" s="46"/>
      <c r="AT149" s="46"/>
      <c r="AU149" s="46"/>
      <c r="AV149" s="47"/>
      <c r="AW149" s="46"/>
      <c r="AX149" s="46"/>
      <c r="AY149" s="48"/>
    </row>
    <row r="150" spans="1:51" customFormat="1" ht="14.25" customHeight="1" x14ac:dyDescent="0.45">
      <c r="A150" s="26">
        <f t="shared" ref="A150:I150" si="157">A149</f>
        <v>2024</v>
      </c>
      <c r="B150" s="27">
        <f t="shared" si="157"/>
        <v>12</v>
      </c>
      <c r="C150" s="27">
        <f t="shared" si="157"/>
        <v>1</v>
      </c>
      <c r="D150" s="28">
        <f t="shared" si="157"/>
        <v>0.75</v>
      </c>
      <c r="E150" s="29" t="str">
        <f t="shared" si="157"/>
        <v>C7</v>
      </c>
      <c r="F150" s="49">
        <f t="shared" si="157"/>
        <v>13.35679</v>
      </c>
      <c r="G150" s="31">
        <f t="shared" si="157"/>
        <v>100.14187</v>
      </c>
      <c r="H150" s="32">
        <f t="shared" si="157"/>
        <v>7.7</v>
      </c>
      <c r="I150" s="27">
        <f t="shared" si="157"/>
        <v>3</v>
      </c>
      <c r="J150" s="33" t="s">
        <v>52</v>
      </c>
      <c r="K150" s="32">
        <v>6</v>
      </c>
      <c r="L150" s="34"/>
      <c r="M150" s="35"/>
      <c r="N150" s="50">
        <f t="shared" si="156"/>
        <v>1.8</v>
      </c>
      <c r="O150" s="37">
        <v>27.9</v>
      </c>
      <c r="P150" s="38">
        <v>28.954000000000001</v>
      </c>
      <c r="Q150" s="51">
        <v>28.96</v>
      </c>
      <c r="R150" s="38">
        <v>8.08</v>
      </c>
      <c r="S150" s="38">
        <v>7.92</v>
      </c>
      <c r="T150" s="37">
        <v>25.6</v>
      </c>
      <c r="U150" s="38">
        <v>29.603999999999999</v>
      </c>
      <c r="V150" s="52">
        <v>29.54</v>
      </c>
      <c r="W150" s="38">
        <v>7.53</v>
      </c>
      <c r="X150" s="38">
        <v>4.2830000000000004</v>
      </c>
      <c r="Y150" s="38">
        <v>4</v>
      </c>
      <c r="Z150" s="38">
        <f t="shared" si="96"/>
        <v>4.4342426400096837</v>
      </c>
      <c r="AA150" s="41">
        <v>8.0500000000000007</v>
      </c>
      <c r="AB150" s="53"/>
      <c r="AC150" s="42">
        <v>2.82</v>
      </c>
      <c r="AD150" s="43">
        <v>4.9400000000000004</v>
      </c>
      <c r="AF150" s="115"/>
      <c r="AG150" s="143"/>
      <c r="AH150" s="117"/>
      <c r="AI150" s="113"/>
      <c r="AJ150" s="147"/>
      <c r="AK150" s="147"/>
      <c r="AL150" s="147"/>
      <c r="AM150" s="147"/>
      <c r="AN150" s="112"/>
      <c r="AO150" s="112"/>
      <c r="AP150" s="108"/>
      <c r="AQ150" s="45"/>
      <c r="AR150" s="46"/>
      <c r="AS150" s="46"/>
      <c r="AT150" s="46"/>
      <c r="AU150" s="46"/>
      <c r="AV150" s="47"/>
      <c r="AW150" s="46"/>
      <c r="AX150" s="46"/>
      <c r="AY150" s="48"/>
    </row>
    <row r="151" spans="1:51" customFormat="1" ht="14.25" customHeight="1" x14ac:dyDescent="0.45">
      <c r="A151" s="26">
        <v>2024</v>
      </c>
      <c r="B151" s="27">
        <v>12</v>
      </c>
      <c r="C151" s="27">
        <v>2</v>
      </c>
      <c r="D151" s="28">
        <v>0.31944444444444442</v>
      </c>
      <c r="E151" s="29">
        <v>7</v>
      </c>
      <c r="F151" s="30">
        <v>13.364330000000001</v>
      </c>
      <c r="G151" s="31">
        <v>100.00097</v>
      </c>
      <c r="H151" s="32">
        <v>6.6</v>
      </c>
      <c r="I151" s="27">
        <v>3</v>
      </c>
      <c r="J151" s="33" t="s">
        <v>47</v>
      </c>
      <c r="K151" s="32">
        <v>1</v>
      </c>
      <c r="L151" s="34">
        <v>5</v>
      </c>
      <c r="M151" s="35" t="s">
        <v>71</v>
      </c>
      <c r="N151" s="36">
        <v>0.8</v>
      </c>
      <c r="O151" s="37">
        <v>26.9</v>
      </c>
      <c r="P151" s="38">
        <v>27.449000000000002</v>
      </c>
      <c r="Q151" s="51">
        <v>27.41</v>
      </c>
      <c r="R151" s="38">
        <v>7.29</v>
      </c>
      <c r="S151" s="38">
        <v>7.65</v>
      </c>
      <c r="T151" s="37">
        <v>21.5</v>
      </c>
      <c r="U151" s="38">
        <v>23.018000000000001</v>
      </c>
      <c r="V151" s="52">
        <v>22.96</v>
      </c>
      <c r="W151" s="38">
        <v>4.3899999999999997</v>
      </c>
      <c r="X151" s="38">
        <v>4.0229999999999997</v>
      </c>
      <c r="Y151" s="38">
        <v>3.69</v>
      </c>
      <c r="Z151" s="38">
        <f t="shared" si="96"/>
        <v>4.1904808475427879</v>
      </c>
      <c r="AA151" s="41">
        <v>15.25</v>
      </c>
      <c r="AB151" s="53">
        <v>7.7061000000000002</v>
      </c>
      <c r="AC151" s="42">
        <v>3.31</v>
      </c>
      <c r="AD151" s="43">
        <v>4.8899999999999997</v>
      </c>
      <c r="AE151" s="44" t="s">
        <v>49</v>
      </c>
      <c r="AF151" s="120" t="s">
        <v>49</v>
      </c>
      <c r="AG151" s="143">
        <v>2243.6101312068477</v>
      </c>
      <c r="AH151" s="117">
        <v>7.6023039959478496</v>
      </c>
      <c r="AI151" s="113">
        <v>7.5705751150029394</v>
      </c>
      <c r="AJ151" s="147">
        <v>1520.0441162835853</v>
      </c>
      <c r="AK151" s="147">
        <v>2085.3519991409448</v>
      </c>
      <c r="AL151" s="147">
        <v>67.181734522941682</v>
      </c>
      <c r="AM151" s="147">
        <v>43.048525782496057</v>
      </c>
      <c r="AN151" s="112">
        <v>1.7917332940851758</v>
      </c>
      <c r="AO151" s="112">
        <v>1.1398735342625859</v>
      </c>
      <c r="AP151" s="108">
        <f t="shared" ref="AP151:AP154" si="158">SUM(AK151:AM151)</f>
        <v>2195.5822594463825</v>
      </c>
      <c r="AQ151" s="45">
        <v>2.7978000000000001</v>
      </c>
      <c r="AR151" s="46">
        <v>68.857600000000005</v>
      </c>
      <c r="AS151" s="46">
        <v>0.92269999999999996</v>
      </c>
      <c r="AT151" s="46">
        <v>16.3629</v>
      </c>
      <c r="AU151" s="46">
        <v>4.2892999999999999</v>
      </c>
      <c r="AV151" s="47">
        <v>734.6259</v>
      </c>
      <c r="AW151" s="46"/>
      <c r="AX151" s="46"/>
      <c r="AY151" s="48" t="s">
        <v>91</v>
      </c>
    </row>
    <row r="152" spans="1:51" customFormat="1" ht="14.25" customHeight="1" x14ac:dyDescent="0.45">
      <c r="A152" s="26">
        <f t="shared" ref="A152:I152" si="159">A151</f>
        <v>2024</v>
      </c>
      <c r="B152" s="27">
        <f t="shared" si="159"/>
        <v>12</v>
      </c>
      <c r="C152" s="27">
        <f t="shared" si="159"/>
        <v>2</v>
      </c>
      <c r="D152" s="28">
        <f t="shared" si="159"/>
        <v>0.31944444444444442</v>
      </c>
      <c r="E152" s="29">
        <f t="shared" si="159"/>
        <v>7</v>
      </c>
      <c r="F152" s="49">
        <f t="shared" si="159"/>
        <v>13.364330000000001</v>
      </c>
      <c r="G152" s="31">
        <f t="shared" si="159"/>
        <v>100.00097</v>
      </c>
      <c r="H152" s="32">
        <f t="shared" si="159"/>
        <v>6.6</v>
      </c>
      <c r="I152" s="27">
        <f t="shared" si="159"/>
        <v>3</v>
      </c>
      <c r="J152" s="33" t="s">
        <v>51</v>
      </c>
      <c r="K152" s="32">
        <v>3</v>
      </c>
      <c r="L152" s="34"/>
      <c r="M152" s="35"/>
      <c r="N152" s="50">
        <f t="shared" ref="N152:N153" si="160">N151</f>
        <v>0.8</v>
      </c>
      <c r="O152" s="37">
        <v>26.9</v>
      </c>
      <c r="P152" s="38">
        <v>27.396000000000001</v>
      </c>
      <c r="Q152" s="51">
        <v>27.3</v>
      </c>
      <c r="R152" s="38">
        <v>7.27</v>
      </c>
      <c r="S152" s="38">
        <v>7.68</v>
      </c>
      <c r="T152" s="37">
        <v>21.5</v>
      </c>
      <c r="U152" s="38">
        <v>23.465</v>
      </c>
      <c r="V152" s="52">
        <v>23.55</v>
      </c>
      <c r="W152" s="38">
        <v>3.9</v>
      </c>
      <c r="X152" s="38">
        <v>3.843</v>
      </c>
      <c r="Y152" s="38">
        <v>3.59</v>
      </c>
      <c r="Z152" s="38">
        <f t="shared" si="96"/>
        <v>4.1118480112631444</v>
      </c>
      <c r="AA152" s="41">
        <v>14.94</v>
      </c>
      <c r="AB152" s="53"/>
      <c r="AC152" s="42">
        <v>2.88</v>
      </c>
      <c r="AD152" s="43">
        <v>4.45</v>
      </c>
      <c r="AF152" s="115"/>
      <c r="AG152" s="143">
        <v>2237.7469862168905</v>
      </c>
      <c r="AH152" s="117">
        <v>7.5811901808725137</v>
      </c>
      <c r="AI152" s="113">
        <v>7.5503534036661097</v>
      </c>
      <c r="AJ152" s="147">
        <v>1584.6436399173269</v>
      </c>
      <c r="AK152" s="147">
        <v>2084.6531358907773</v>
      </c>
      <c r="AL152" s="147">
        <v>64.823896848411309</v>
      </c>
      <c r="AM152" s="147">
        <v>44.834437054130838</v>
      </c>
      <c r="AN152" s="112">
        <v>1.7216335640056353</v>
      </c>
      <c r="AO152" s="112">
        <v>1.0977418364702261</v>
      </c>
      <c r="AP152" s="108">
        <f t="shared" si="158"/>
        <v>2194.3114697933192</v>
      </c>
      <c r="AQ152" s="45">
        <v>2.8944000000000001</v>
      </c>
      <c r="AR152" s="46">
        <v>66.929599999999994</v>
      </c>
      <c r="AS152" s="46">
        <v>1.06</v>
      </c>
      <c r="AT152" s="46">
        <v>20.3188</v>
      </c>
      <c r="AU152" s="46">
        <v>3.8374999999999999</v>
      </c>
      <c r="AV152" s="47">
        <v>452.13189999999997</v>
      </c>
      <c r="AW152" s="46"/>
      <c r="AX152" s="46"/>
      <c r="AY152" s="48"/>
    </row>
    <row r="153" spans="1:51" customFormat="1" ht="14.25" customHeight="1" x14ac:dyDescent="0.45">
      <c r="A153" s="26">
        <f t="shared" ref="A153:I153" si="161">A152</f>
        <v>2024</v>
      </c>
      <c r="B153" s="27">
        <f t="shared" si="161"/>
        <v>12</v>
      </c>
      <c r="C153" s="27">
        <f t="shared" si="161"/>
        <v>2</v>
      </c>
      <c r="D153" s="28">
        <f t="shared" si="161"/>
        <v>0.31944444444444442</v>
      </c>
      <c r="E153" s="29">
        <f t="shared" si="161"/>
        <v>7</v>
      </c>
      <c r="F153" s="49">
        <f t="shared" si="161"/>
        <v>13.364330000000001</v>
      </c>
      <c r="G153" s="31">
        <f t="shared" si="161"/>
        <v>100.00097</v>
      </c>
      <c r="H153" s="32">
        <f t="shared" si="161"/>
        <v>6.6</v>
      </c>
      <c r="I153" s="27">
        <f t="shared" si="161"/>
        <v>3</v>
      </c>
      <c r="J153" s="33" t="s">
        <v>52</v>
      </c>
      <c r="K153" s="32">
        <v>5</v>
      </c>
      <c r="L153" s="34"/>
      <c r="M153" s="35"/>
      <c r="N153" s="50">
        <f t="shared" si="160"/>
        <v>0.8</v>
      </c>
      <c r="O153" s="37">
        <v>26.8</v>
      </c>
      <c r="P153" s="38">
        <v>26.8</v>
      </c>
      <c r="Q153" s="51">
        <v>26.72</v>
      </c>
      <c r="R153" s="38">
        <v>7.26</v>
      </c>
      <c r="S153" s="38">
        <v>7.67</v>
      </c>
      <c r="T153" s="37">
        <v>21.5</v>
      </c>
      <c r="U153" s="38">
        <v>23.477</v>
      </c>
      <c r="V153" s="52">
        <v>23.46</v>
      </c>
      <c r="W153" s="38">
        <v>3.76</v>
      </c>
      <c r="X153" s="38">
        <v>3.8370000000000002</v>
      </c>
      <c r="Y153" s="38">
        <v>3.72</v>
      </c>
      <c r="Z153" s="38">
        <f t="shared" si="96"/>
        <v>4.2140706984266814</v>
      </c>
      <c r="AA153" s="41">
        <v>13</v>
      </c>
      <c r="AB153" s="53"/>
      <c r="AC153" s="42"/>
      <c r="AD153" s="43">
        <v>4.8099999999999996</v>
      </c>
      <c r="AF153" s="115"/>
      <c r="AG153" s="143">
        <v>2246.7230161707412</v>
      </c>
      <c r="AH153" s="117">
        <v>7.6294132250186477</v>
      </c>
      <c r="AI153" s="113">
        <v>7.6055197378128474</v>
      </c>
      <c r="AJ153" s="147">
        <v>1385.1070020126056</v>
      </c>
      <c r="AK153" s="147">
        <v>2077.1568246556794</v>
      </c>
      <c r="AL153" s="147">
        <v>71.801536029587339</v>
      </c>
      <c r="AM153" s="147">
        <v>39.768898950658624</v>
      </c>
      <c r="AN153" s="112">
        <v>1.9016726426654731</v>
      </c>
      <c r="AO153" s="112">
        <v>1.2105401698454485</v>
      </c>
      <c r="AP153" s="108">
        <f t="shared" si="158"/>
        <v>2188.7272596359253</v>
      </c>
      <c r="AQ153" s="45">
        <v>2.8944000000000001</v>
      </c>
      <c r="AR153" s="46">
        <v>68.682299999999998</v>
      </c>
      <c r="AS153" s="46">
        <v>1.0143</v>
      </c>
      <c r="AT153" s="46">
        <v>19.599599999999999</v>
      </c>
      <c r="AU153" s="46">
        <v>4.1978</v>
      </c>
      <c r="AV153" s="47">
        <v>211.51589999999999</v>
      </c>
      <c r="AW153" s="46"/>
      <c r="AX153" s="46"/>
      <c r="AY153" s="48"/>
    </row>
    <row r="154" spans="1:51" customFormat="1" ht="14.25" customHeight="1" x14ac:dyDescent="0.45">
      <c r="A154" s="27">
        <v>2024</v>
      </c>
      <c r="B154" s="27">
        <v>12</v>
      </c>
      <c r="C154" s="27">
        <v>2</v>
      </c>
      <c r="D154" s="28">
        <v>0.36944444444444446</v>
      </c>
      <c r="E154" s="29">
        <v>2</v>
      </c>
      <c r="F154" s="30">
        <v>13.27891</v>
      </c>
      <c r="G154" s="31">
        <v>100.01505</v>
      </c>
      <c r="H154" s="32">
        <v>4.5999999999999996</v>
      </c>
      <c r="I154" s="27">
        <v>2</v>
      </c>
      <c r="J154" s="33" t="s">
        <v>47</v>
      </c>
      <c r="K154" s="32">
        <v>1</v>
      </c>
      <c r="L154" s="34">
        <v>2</v>
      </c>
      <c r="M154" s="35" t="s">
        <v>71</v>
      </c>
      <c r="N154" s="36">
        <v>2.1</v>
      </c>
      <c r="O154" s="37">
        <v>26.9</v>
      </c>
      <c r="P154" s="38">
        <v>27.68</v>
      </c>
      <c r="Q154" s="51">
        <v>27.69</v>
      </c>
      <c r="R154" s="38">
        <v>7.76</v>
      </c>
      <c r="S154" s="38">
        <v>7.95</v>
      </c>
      <c r="T154" s="37">
        <v>23.5</v>
      </c>
      <c r="U154" s="38">
        <v>25.417999999999999</v>
      </c>
      <c r="V154" s="52">
        <v>25.42</v>
      </c>
      <c r="W154" s="38">
        <v>5.98</v>
      </c>
      <c r="X154" s="38">
        <v>7.21</v>
      </c>
      <c r="Y154" s="38">
        <v>6.29</v>
      </c>
      <c r="Z154" s="38">
        <f t="shared" si="96"/>
        <v>6.2349345908135216</v>
      </c>
      <c r="AA154" s="41">
        <v>4.8</v>
      </c>
      <c r="AB154" s="53">
        <v>4.6478999999999999</v>
      </c>
      <c r="AC154" s="42">
        <v>2.86</v>
      </c>
      <c r="AD154" s="43">
        <v>3.22</v>
      </c>
      <c r="AE154" s="44" t="s">
        <v>49</v>
      </c>
      <c r="AF154" s="120"/>
      <c r="AG154" s="143">
        <v>2201.0155837787797</v>
      </c>
      <c r="AH154" s="117">
        <v>7.8625574025612535</v>
      </c>
      <c r="AI154" s="113">
        <v>7.8239451929403758</v>
      </c>
      <c r="AJ154" s="147">
        <v>764.13656693475798</v>
      </c>
      <c r="AK154" s="147">
        <v>1915.5507505710166</v>
      </c>
      <c r="AL154" s="147">
        <v>119.41990812885452</v>
      </c>
      <c r="AM154" s="147">
        <v>21.257571076153599</v>
      </c>
      <c r="AN154" s="112">
        <v>3.1257510891537734</v>
      </c>
      <c r="AO154" s="112">
        <v>2.014206382125364</v>
      </c>
      <c r="AP154" s="108">
        <f t="shared" si="158"/>
        <v>2056.2282297760248</v>
      </c>
      <c r="AQ154" s="45">
        <v>1.8337000000000001</v>
      </c>
      <c r="AR154" s="46">
        <v>3.4925000000000002</v>
      </c>
      <c r="AS154" s="46">
        <v>0.34699999999999998</v>
      </c>
      <c r="AT154" s="46">
        <v>3.2366000000000001</v>
      </c>
      <c r="AU154" s="46">
        <v>1.6903999999999999</v>
      </c>
      <c r="AV154" s="47">
        <v>338.33550000000002</v>
      </c>
      <c r="AW154" s="46"/>
      <c r="AX154" s="46"/>
      <c r="AY154" s="48" t="s">
        <v>92</v>
      </c>
    </row>
    <row r="155" spans="1:51" customFormat="1" ht="14.25" customHeight="1" x14ac:dyDescent="0.45">
      <c r="A155" s="26">
        <f t="shared" ref="A155:I155" si="162">A154</f>
        <v>2024</v>
      </c>
      <c r="B155" s="27">
        <f t="shared" si="162"/>
        <v>12</v>
      </c>
      <c r="C155" s="27">
        <f t="shared" si="162"/>
        <v>2</v>
      </c>
      <c r="D155" s="28">
        <f t="shared" si="162"/>
        <v>0.36944444444444446</v>
      </c>
      <c r="E155" s="29">
        <f t="shared" si="162"/>
        <v>2</v>
      </c>
      <c r="F155" s="49">
        <f t="shared" si="162"/>
        <v>13.27891</v>
      </c>
      <c r="G155" s="31">
        <f t="shared" si="162"/>
        <v>100.01505</v>
      </c>
      <c r="H155" s="32">
        <f t="shared" si="162"/>
        <v>4.5999999999999996</v>
      </c>
      <c r="I155" s="27">
        <f t="shared" si="162"/>
        <v>2</v>
      </c>
      <c r="J155" s="33" t="s">
        <v>51</v>
      </c>
      <c r="K155" s="60"/>
      <c r="L155" s="61"/>
      <c r="M155" s="32"/>
      <c r="N155" s="50">
        <f t="shared" ref="N155:N156" si="163">N154</f>
        <v>2.1</v>
      </c>
      <c r="O155" s="37"/>
      <c r="P155" s="38"/>
      <c r="Q155" s="51"/>
      <c r="R155" s="38"/>
      <c r="T155" s="37"/>
      <c r="U155" s="38"/>
      <c r="V155" s="52"/>
      <c r="W155" s="38"/>
      <c r="X155" s="38"/>
      <c r="Y155" s="38"/>
      <c r="Z155" s="38"/>
      <c r="AA155" s="62"/>
      <c r="AB155" s="37"/>
      <c r="AC155" s="38"/>
      <c r="AD155" s="43"/>
      <c r="AF155" s="115"/>
      <c r="AG155" s="143"/>
      <c r="AH155" s="117"/>
      <c r="AI155" s="113"/>
      <c r="AJ155" s="147"/>
      <c r="AK155" s="147"/>
      <c r="AL155" s="147"/>
      <c r="AM155" s="147"/>
      <c r="AN155" s="112"/>
      <c r="AO155" s="112"/>
      <c r="AP155" s="108"/>
      <c r="AQ155" s="45"/>
      <c r="AR155" s="46"/>
      <c r="AS155" s="46"/>
      <c r="AT155" s="46"/>
      <c r="AU155" s="46"/>
      <c r="AV155" s="47"/>
      <c r="AW155" s="46"/>
      <c r="AX155" s="46"/>
      <c r="AY155" s="48"/>
    </row>
    <row r="156" spans="1:51" customFormat="1" ht="14.25" customHeight="1" x14ac:dyDescent="0.45">
      <c r="A156" s="26">
        <f t="shared" ref="A156:I156" si="164">A155</f>
        <v>2024</v>
      </c>
      <c r="B156" s="27">
        <f t="shared" si="164"/>
        <v>12</v>
      </c>
      <c r="C156" s="27">
        <f t="shared" si="164"/>
        <v>2</v>
      </c>
      <c r="D156" s="28">
        <f t="shared" si="164"/>
        <v>0.36944444444444446</v>
      </c>
      <c r="E156" s="29">
        <f t="shared" si="164"/>
        <v>2</v>
      </c>
      <c r="F156" s="49">
        <f t="shared" si="164"/>
        <v>13.27891</v>
      </c>
      <c r="G156" s="31">
        <f t="shared" si="164"/>
        <v>100.01505</v>
      </c>
      <c r="H156" s="32">
        <f t="shared" si="164"/>
        <v>4.5999999999999996</v>
      </c>
      <c r="I156" s="27">
        <f t="shared" si="164"/>
        <v>2</v>
      </c>
      <c r="J156" s="33" t="s">
        <v>52</v>
      </c>
      <c r="K156" s="32">
        <v>3.5</v>
      </c>
      <c r="L156" s="61"/>
      <c r="M156" s="32"/>
      <c r="N156" s="50">
        <f t="shared" si="163"/>
        <v>2.1</v>
      </c>
      <c r="O156" s="37">
        <v>27</v>
      </c>
      <c r="P156" s="38">
        <v>28.744</v>
      </c>
      <c r="Q156" s="51">
        <v>28.76</v>
      </c>
      <c r="R156" s="38">
        <v>7.73</v>
      </c>
      <c r="S156" s="38">
        <v>7.99</v>
      </c>
      <c r="T156" s="37">
        <v>24</v>
      </c>
      <c r="U156" s="38">
        <v>28.739000000000001</v>
      </c>
      <c r="V156" s="52">
        <v>28.81</v>
      </c>
      <c r="W156" s="38">
        <v>6</v>
      </c>
      <c r="X156" s="38">
        <v>5.6239999999999997</v>
      </c>
      <c r="Y156" s="38">
        <v>4.92</v>
      </c>
      <c r="Z156" s="38">
        <f t="shared" ref="Z156:Z193" si="165">Y156*$W$1+$Y$1</f>
        <v>5.1576647337824042</v>
      </c>
      <c r="AA156" s="62">
        <v>7.05</v>
      </c>
      <c r="AB156" s="37"/>
      <c r="AC156" s="38">
        <v>6</v>
      </c>
      <c r="AD156" s="43">
        <v>4.8899999999999997</v>
      </c>
      <c r="AF156" s="115"/>
      <c r="AG156" s="143">
        <v>2186.2646362667201</v>
      </c>
      <c r="AH156" s="117">
        <v>7.8626226698743906</v>
      </c>
      <c r="AI156" s="113">
        <v>7.8084915883087129</v>
      </c>
      <c r="AJ156" s="147">
        <v>761.3459338868746</v>
      </c>
      <c r="AK156" s="147">
        <v>1874.9318187419858</v>
      </c>
      <c r="AL156" s="147">
        <v>128.25415427101262</v>
      </c>
      <c r="AM156" s="147">
        <v>20.300447499200896</v>
      </c>
      <c r="AN156" s="112">
        <v>3.2779085422119341</v>
      </c>
      <c r="AO156" s="112">
        <v>2.1492493708284526</v>
      </c>
      <c r="AP156" s="108">
        <f t="shared" ref="AP156" si="166">SUM(AK156:AM156)</f>
        <v>2023.4864205121992</v>
      </c>
      <c r="AQ156" s="45">
        <v>1.6404000000000001</v>
      </c>
      <c r="AR156" s="46">
        <v>3.0718000000000001</v>
      </c>
      <c r="AS156" s="46">
        <v>0.34699999999999998</v>
      </c>
      <c r="AT156" s="46">
        <v>3.2366000000000001</v>
      </c>
      <c r="AU156" s="46">
        <v>2.0977999999999999</v>
      </c>
      <c r="AV156" s="47">
        <v>359.6671</v>
      </c>
      <c r="AW156" s="46"/>
      <c r="AX156" s="46"/>
      <c r="AY156" s="48"/>
    </row>
    <row r="157" spans="1:51" customFormat="1" ht="14.25" customHeight="1" x14ac:dyDescent="0.45">
      <c r="A157" s="26">
        <v>2024</v>
      </c>
      <c r="B157" s="27">
        <v>12</v>
      </c>
      <c r="C157" s="54">
        <v>2</v>
      </c>
      <c r="D157" s="28">
        <v>0.3972222222222222</v>
      </c>
      <c r="E157" s="29">
        <v>3</v>
      </c>
      <c r="F157" s="30">
        <v>13.264419999999999</v>
      </c>
      <c r="G157" s="31">
        <v>100.06827</v>
      </c>
      <c r="H157" s="32">
        <v>9.5</v>
      </c>
      <c r="I157" s="54">
        <v>3</v>
      </c>
      <c r="J157" s="33" t="s">
        <v>47</v>
      </c>
      <c r="K157" s="32">
        <v>1</v>
      </c>
      <c r="L157" s="61">
        <v>6</v>
      </c>
      <c r="M157" s="35" t="s">
        <v>71</v>
      </c>
      <c r="N157" s="36">
        <v>2.7</v>
      </c>
      <c r="O157" s="37">
        <v>27.5</v>
      </c>
      <c r="P157" s="38">
        <v>27.881</v>
      </c>
      <c r="Q157" s="51">
        <v>27.88</v>
      </c>
      <c r="R157" s="38">
        <v>7.86</v>
      </c>
      <c r="S157" s="38">
        <v>8.07</v>
      </c>
      <c r="T157" s="37">
        <v>24.6</v>
      </c>
      <c r="U157" s="38">
        <v>26.803000000000001</v>
      </c>
      <c r="V157" s="52">
        <v>26.79</v>
      </c>
      <c r="W157" s="38">
        <v>6.72</v>
      </c>
      <c r="X157" s="38">
        <v>6.9880000000000004</v>
      </c>
      <c r="Y157" s="38">
        <v>6.71</v>
      </c>
      <c r="Z157" s="38">
        <f t="shared" si="165"/>
        <v>6.5651925031880243</v>
      </c>
      <c r="AA157" s="62">
        <v>9.8000000000000007</v>
      </c>
      <c r="AB157" s="37">
        <v>2.1011000000000002</v>
      </c>
      <c r="AC157" s="38">
        <v>1.24</v>
      </c>
      <c r="AD157" s="43">
        <v>1.56</v>
      </c>
      <c r="AE157" s="44" t="s">
        <v>49</v>
      </c>
      <c r="AF157" s="120"/>
      <c r="AG157" s="143"/>
      <c r="AH157" s="117"/>
      <c r="AI157" s="113"/>
      <c r="AJ157" s="147"/>
      <c r="AK157" s="147"/>
      <c r="AL157" s="147"/>
      <c r="AM157" s="147"/>
      <c r="AN157" s="112"/>
      <c r="AO157" s="112"/>
      <c r="AP157" s="108"/>
      <c r="AQ157" s="45">
        <v>1.3023</v>
      </c>
      <c r="AR157" s="46">
        <v>2.0114000000000001</v>
      </c>
      <c r="AS157" s="46">
        <v>0.3241</v>
      </c>
      <c r="AT157" s="46">
        <v>2.7871000000000001</v>
      </c>
      <c r="AU157" s="46">
        <v>2.2225999999999999</v>
      </c>
      <c r="AV157" s="47">
        <v>333.51490000000001</v>
      </c>
      <c r="AW157" s="46"/>
      <c r="AX157" s="46"/>
      <c r="AY157" s="48" t="s">
        <v>93</v>
      </c>
    </row>
    <row r="158" spans="1:51" customFormat="1" ht="14.25" customHeight="1" x14ac:dyDescent="0.45">
      <c r="A158" s="26">
        <f t="shared" ref="A158:I158" si="167">A157</f>
        <v>2024</v>
      </c>
      <c r="B158" s="27">
        <f t="shared" si="167"/>
        <v>12</v>
      </c>
      <c r="C158" s="27">
        <f t="shared" si="167"/>
        <v>2</v>
      </c>
      <c r="D158" s="28">
        <f t="shared" si="167"/>
        <v>0.3972222222222222</v>
      </c>
      <c r="E158" s="29">
        <f t="shared" si="167"/>
        <v>3</v>
      </c>
      <c r="F158" s="49">
        <f t="shared" si="167"/>
        <v>13.264419999999999</v>
      </c>
      <c r="G158" s="31">
        <f t="shared" si="167"/>
        <v>100.06827</v>
      </c>
      <c r="H158" s="32">
        <f t="shared" si="167"/>
        <v>9.5</v>
      </c>
      <c r="I158" s="27">
        <f t="shared" si="167"/>
        <v>3</v>
      </c>
      <c r="J158" s="33" t="s">
        <v>51</v>
      </c>
      <c r="K158" s="32">
        <v>4.5</v>
      </c>
      <c r="L158" s="61"/>
      <c r="M158" s="32"/>
      <c r="N158" s="50">
        <f t="shared" ref="N158:N159" si="168">N157</f>
        <v>2.7</v>
      </c>
      <c r="O158" s="37">
        <v>27.5</v>
      </c>
      <c r="P158" s="38">
        <v>28.285</v>
      </c>
      <c r="Q158" s="51">
        <v>28.77</v>
      </c>
      <c r="R158" s="38">
        <v>7.86</v>
      </c>
      <c r="S158" s="38">
        <v>8.06</v>
      </c>
      <c r="T158" s="37">
        <v>24.7</v>
      </c>
      <c r="U158" s="38">
        <v>28.425000000000001</v>
      </c>
      <c r="V158" s="52">
        <v>29.55</v>
      </c>
      <c r="W158" s="38">
        <v>6.52</v>
      </c>
      <c r="X158" s="38">
        <v>7.2220000000000004</v>
      </c>
      <c r="Y158" s="38">
        <v>5.98</v>
      </c>
      <c r="Z158" s="38">
        <f t="shared" si="165"/>
        <v>5.9911727983466267</v>
      </c>
      <c r="AA158" s="62">
        <v>4.7</v>
      </c>
      <c r="AB158" s="37"/>
      <c r="AC158" s="38">
        <v>5.38</v>
      </c>
      <c r="AD158" s="43">
        <v>3.46</v>
      </c>
      <c r="AF158" s="115"/>
      <c r="AG158" s="143"/>
      <c r="AH158" s="117"/>
      <c r="AI158" s="116"/>
      <c r="AJ158" s="147"/>
      <c r="AK158" s="147"/>
      <c r="AL158" s="150"/>
      <c r="AM158" s="150"/>
      <c r="AN158" s="114"/>
      <c r="AO158" s="114"/>
      <c r="AP158" s="60"/>
      <c r="AQ158" s="45">
        <v>1.5438000000000001</v>
      </c>
      <c r="AR158" s="46">
        <v>27.4177</v>
      </c>
      <c r="AS158" s="46">
        <v>0.41560000000000002</v>
      </c>
      <c r="AT158" s="46">
        <v>2.4275000000000002</v>
      </c>
      <c r="AU158" s="46">
        <v>1.9273</v>
      </c>
      <c r="AV158" s="47">
        <v>159.9734</v>
      </c>
      <c r="AW158" s="46"/>
      <c r="AX158" s="46"/>
      <c r="AY158" s="48"/>
    </row>
    <row r="159" spans="1:51" customFormat="1" ht="14.25" customHeight="1" x14ac:dyDescent="0.45">
      <c r="A159" s="26">
        <f t="shared" ref="A159:I159" si="169">A158</f>
        <v>2024</v>
      </c>
      <c r="B159" s="27">
        <f t="shared" si="169"/>
        <v>12</v>
      </c>
      <c r="C159" s="27">
        <f t="shared" si="169"/>
        <v>2</v>
      </c>
      <c r="D159" s="28">
        <f t="shared" si="169"/>
        <v>0.3972222222222222</v>
      </c>
      <c r="E159" s="29">
        <f t="shared" si="169"/>
        <v>3</v>
      </c>
      <c r="F159" s="49">
        <f t="shared" si="169"/>
        <v>13.264419999999999</v>
      </c>
      <c r="G159" s="31">
        <f t="shared" si="169"/>
        <v>100.06827</v>
      </c>
      <c r="H159" s="32">
        <f t="shared" si="169"/>
        <v>9.5</v>
      </c>
      <c r="I159" s="27">
        <f t="shared" si="169"/>
        <v>3</v>
      </c>
      <c r="J159" s="33" t="s">
        <v>52</v>
      </c>
      <c r="K159" s="32">
        <v>8.5</v>
      </c>
      <c r="L159" s="61"/>
      <c r="M159" s="32"/>
      <c r="N159" s="50">
        <f t="shared" si="168"/>
        <v>2.7</v>
      </c>
      <c r="O159" s="37">
        <v>27.5</v>
      </c>
      <c r="P159" s="38">
        <v>28.896999999999998</v>
      </c>
      <c r="Q159" s="51">
        <v>28.9</v>
      </c>
      <c r="R159" s="38">
        <v>7.86</v>
      </c>
      <c r="S159" s="38">
        <v>8.01</v>
      </c>
      <c r="T159" s="37">
        <v>24.9</v>
      </c>
      <c r="U159" s="38">
        <v>29.919</v>
      </c>
      <c r="V159" s="52">
        <v>29.84</v>
      </c>
      <c r="W159" s="38">
        <v>5.67</v>
      </c>
      <c r="X159" s="38">
        <v>5.5229999999999997</v>
      </c>
      <c r="Y159" s="38">
        <v>5.19</v>
      </c>
      <c r="Z159" s="38">
        <f t="shared" si="165"/>
        <v>5.3699733917374424</v>
      </c>
      <c r="AA159" s="62">
        <v>4.95</v>
      </c>
      <c r="AB159" s="37"/>
      <c r="AC159" s="38">
        <v>2.1800000000000002</v>
      </c>
      <c r="AD159" s="43">
        <v>4.18</v>
      </c>
      <c r="AF159" s="115"/>
      <c r="AG159" s="143"/>
      <c r="AH159" s="117"/>
      <c r="AI159" s="116"/>
      <c r="AJ159" s="147"/>
      <c r="AK159" s="147"/>
      <c r="AL159" s="150"/>
      <c r="AM159" s="150"/>
      <c r="AN159" s="114"/>
      <c r="AO159" s="114"/>
      <c r="AP159" s="60"/>
      <c r="AQ159" s="45">
        <v>1.4472</v>
      </c>
      <c r="AR159" s="46">
        <v>26.453700000000001</v>
      </c>
      <c r="AS159" s="46">
        <v>0.39269999999999999</v>
      </c>
      <c r="AT159" s="46">
        <v>1.7081999999999999</v>
      </c>
      <c r="AU159" s="46">
        <v>2.0011999999999999</v>
      </c>
      <c r="AV159" s="47">
        <v>112.2384</v>
      </c>
      <c r="AW159" s="46"/>
      <c r="AX159" s="46"/>
      <c r="AY159" s="48"/>
    </row>
    <row r="160" spans="1:51" customFormat="1" ht="14.25" customHeight="1" x14ac:dyDescent="0.45">
      <c r="A160" s="26">
        <v>2024</v>
      </c>
      <c r="B160" s="27">
        <v>12</v>
      </c>
      <c r="C160" s="54">
        <v>2</v>
      </c>
      <c r="D160" s="28">
        <v>0.42708333333333331</v>
      </c>
      <c r="E160" s="29">
        <v>5</v>
      </c>
      <c r="F160" s="30">
        <v>13.30185</v>
      </c>
      <c r="G160" s="31">
        <v>100.08669</v>
      </c>
      <c r="H160" s="32">
        <v>9</v>
      </c>
      <c r="I160" s="54">
        <v>3</v>
      </c>
      <c r="J160" s="33" t="s">
        <v>47</v>
      </c>
      <c r="K160" s="32">
        <v>1</v>
      </c>
      <c r="L160" s="61">
        <v>7</v>
      </c>
      <c r="M160" s="35" t="s">
        <v>71</v>
      </c>
      <c r="N160" s="36">
        <v>2.2999999999999998</v>
      </c>
      <c r="O160" s="37">
        <v>27.6</v>
      </c>
      <c r="P160" s="38">
        <v>27.748999999999999</v>
      </c>
      <c r="Q160" s="51">
        <v>27.74</v>
      </c>
      <c r="R160" s="38">
        <v>7.76</v>
      </c>
      <c r="S160" s="38">
        <v>7.73</v>
      </c>
      <c r="T160" s="37">
        <v>24.4</v>
      </c>
      <c r="U160" s="38">
        <v>26.414000000000001</v>
      </c>
      <c r="V160" s="52">
        <v>26.42</v>
      </c>
      <c r="W160" s="38">
        <v>6.29</v>
      </c>
      <c r="X160" s="38">
        <v>6.4550000000000001</v>
      </c>
      <c r="Y160" s="38">
        <v>6.18</v>
      </c>
      <c r="Z160" s="38">
        <f t="shared" si="165"/>
        <v>6.148438470905913</v>
      </c>
      <c r="AA160" s="62">
        <v>4</v>
      </c>
      <c r="AB160" s="37">
        <v>1.5959000000000001</v>
      </c>
      <c r="AC160" s="38">
        <v>1.24</v>
      </c>
      <c r="AD160" s="43">
        <v>1.54</v>
      </c>
      <c r="AE160" s="44" t="s">
        <v>49</v>
      </c>
      <c r="AF160" s="120"/>
      <c r="AG160" s="143"/>
      <c r="AH160" s="117"/>
      <c r="AI160" s="116"/>
      <c r="AJ160" s="147"/>
      <c r="AK160" s="147"/>
      <c r="AL160" s="150"/>
      <c r="AM160" s="150"/>
      <c r="AN160" s="114"/>
      <c r="AO160" s="114"/>
      <c r="AP160" s="60"/>
      <c r="AQ160" s="45">
        <v>1.5921000000000001</v>
      </c>
      <c r="AR160" s="46">
        <v>32.500799999999998</v>
      </c>
      <c r="AS160" s="46">
        <v>0.4385</v>
      </c>
      <c r="AT160" s="46">
        <v>3.8660000000000001</v>
      </c>
      <c r="AU160" s="46">
        <v>2.9230999999999998</v>
      </c>
      <c r="AV160" s="47">
        <v>393.61790000000002</v>
      </c>
      <c r="AW160" s="46"/>
      <c r="AX160" s="46"/>
      <c r="AY160" s="48" t="s">
        <v>74</v>
      </c>
    </row>
    <row r="161" spans="1:51" customFormat="1" ht="14.25" customHeight="1" thickBot="1" x14ac:dyDescent="0.5">
      <c r="A161" s="26">
        <f t="shared" ref="A161:I161" si="170">A160</f>
        <v>2024</v>
      </c>
      <c r="B161" s="27">
        <f t="shared" si="170"/>
        <v>12</v>
      </c>
      <c r="C161" s="27">
        <f t="shared" si="170"/>
        <v>2</v>
      </c>
      <c r="D161" s="28">
        <f t="shared" si="170"/>
        <v>0.42708333333333331</v>
      </c>
      <c r="E161" s="29">
        <f t="shared" si="170"/>
        <v>5</v>
      </c>
      <c r="F161" s="49">
        <f t="shared" si="170"/>
        <v>13.30185</v>
      </c>
      <c r="G161" s="31">
        <f t="shared" si="170"/>
        <v>100.08669</v>
      </c>
      <c r="H161" s="32">
        <f t="shared" si="170"/>
        <v>9</v>
      </c>
      <c r="I161" s="27">
        <f t="shared" si="170"/>
        <v>3</v>
      </c>
      <c r="J161" s="33" t="s">
        <v>51</v>
      </c>
      <c r="K161" s="32">
        <v>4.5</v>
      </c>
      <c r="L161" s="61"/>
      <c r="M161" s="32"/>
      <c r="N161" s="50">
        <f t="shared" ref="N161:N162" si="171">N160</f>
        <v>2.2999999999999998</v>
      </c>
      <c r="O161" s="37">
        <v>27.6</v>
      </c>
      <c r="P161" s="38">
        <v>28.692</v>
      </c>
      <c r="Q161" s="51">
        <v>28.7</v>
      </c>
      <c r="R161" s="38">
        <v>7.83</v>
      </c>
      <c r="S161" s="38">
        <v>8.01</v>
      </c>
      <c r="T161" s="37">
        <v>25.1</v>
      </c>
      <c r="U161" s="38">
        <v>29.152999999999999</v>
      </c>
      <c r="V161" s="52">
        <v>29.12</v>
      </c>
      <c r="W161" s="38">
        <v>6.08</v>
      </c>
      <c r="X161" s="38">
        <v>5.4180000000000001</v>
      </c>
      <c r="Y161" s="38">
        <v>4.99</v>
      </c>
      <c r="Z161" s="38">
        <f t="shared" si="165"/>
        <v>5.2127077191781552</v>
      </c>
      <c r="AA161" s="62">
        <v>6.7</v>
      </c>
      <c r="AB161" s="37"/>
      <c r="AC161" s="38">
        <v>1.61</v>
      </c>
      <c r="AD161" s="43">
        <v>2.73</v>
      </c>
      <c r="AF161" s="115"/>
      <c r="AG161" s="143"/>
      <c r="AH161" s="117"/>
      <c r="AI161" s="116"/>
      <c r="AJ161" s="147"/>
      <c r="AK161" s="147"/>
      <c r="AL161" s="150"/>
      <c r="AM161" s="150"/>
      <c r="AN161" s="114"/>
      <c r="AO161" s="114"/>
      <c r="AP161" s="60"/>
      <c r="AQ161" s="63">
        <v>1.3989</v>
      </c>
      <c r="AR161" s="64">
        <v>27.4177</v>
      </c>
      <c r="AS161" s="64">
        <v>0.41560000000000002</v>
      </c>
      <c r="AT161" s="64">
        <v>3.2366000000000001</v>
      </c>
      <c r="AU161" s="64">
        <v>2.6404000000000001</v>
      </c>
      <c r="AV161" s="47">
        <v>389.6266</v>
      </c>
      <c r="AW161" s="64"/>
      <c r="AX161" s="64"/>
      <c r="AY161" s="48"/>
    </row>
    <row r="162" spans="1:51" customFormat="1" ht="14.25" customHeight="1" x14ac:dyDescent="0.45">
      <c r="A162" s="26">
        <f t="shared" ref="A162:I162" si="172">A161</f>
        <v>2024</v>
      </c>
      <c r="B162" s="27">
        <f t="shared" si="172"/>
        <v>12</v>
      </c>
      <c r="C162" s="27">
        <f t="shared" si="172"/>
        <v>2</v>
      </c>
      <c r="D162" s="28">
        <f t="shared" si="172"/>
        <v>0.42708333333333331</v>
      </c>
      <c r="E162" s="29">
        <f t="shared" si="172"/>
        <v>5</v>
      </c>
      <c r="F162" s="49">
        <f t="shared" si="172"/>
        <v>13.30185</v>
      </c>
      <c r="G162" s="31">
        <f t="shared" si="172"/>
        <v>100.08669</v>
      </c>
      <c r="H162" s="32">
        <f t="shared" si="172"/>
        <v>9</v>
      </c>
      <c r="I162" s="27">
        <f t="shared" si="172"/>
        <v>3</v>
      </c>
      <c r="J162" s="33" t="s">
        <v>52</v>
      </c>
      <c r="K162" s="32">
        <v>8</v>
      </c>
      <c r="L162" s="61"/>
      <c r="M162" s="32"/>
      <c r="N162" s="50">
        <f t="shared" si="171"/>
        <v>2.2999999999999998</v>
      </c>
      <c r="O162" s="37">
        <v>27.7</v>
      </c>
      <c r="P162" s="38">
        <v>28.768000000000001</v>
      </c>
      <c r="Q162" s="51">
        <v>28.77</v>
      </c>
      <c r="R162" s="38">
        <v>7.8</v>
      </c>
      <c r="S162" s="38">
        <v>7.99</v>
      </c>
      <c r="T162" s="37">
        <v>25.2</v>
      </c>
      <c r="U162" s="38">
        <v>29.321000000000002</v>
      </c>
      <c r="V162" s="52">
        <v>29.25</v>
      </c>
      <c r="W162" s="38">
        <v>6.01</v>
      </c>
      <c r="X162" s="38">
        <v>4.88</v>
      </c>
      <c r="Y162" s="38">
        <v>4.59</v>
      </c>
      <c r="Z162" s="38">
        <f t="shared" si="165"/>
        <v>4.8981763740595801</v>
      </c>
      <c r="AA162" s="62">
        <v>6.75</v>
      </c>
      <c r="AB162" s="37"/>
      <c r="AC162" s="38">
        <v>1.96</v>
      </c>
      <c r="AD162" s="43">
        <v>3.8</v>
      </c>
      <c r="AF162" s="115"/>
      <c r="AG162" s="143"/>
      <c r="AH162" s="117"/>
      <c r="AI162" s="116"/>
      <c r="AJ162" s="150"/>
      <c r="AK162" s="150"/>
      <c r="AL162" s="150"/>
      <c r="AM162" s="150"/>
      <c r="AN162" s="114"/>
      <c r="AO162" s="114"/>
      <c r="AP162" s="60"/>
      <c r="AQ162" s="65">
        <v>1.7371000000000001</v>
      </c>
      <c r="AR162" s="54">
        <v>29.521100000000001</v>
      </c>
      <c r="AS162" s="54">
        <v>0.48430000000000001</v>
      </c>
      <c r="AT162" s="54">
        <v>4.0457999999999998</v>
      </c>
      <c r="AU162" s="27">
        <v>2.9792000000000001</v>
      </c>
      <c r="AV162" s="43">
        <v>504.67739999999998</v>
      </c>
      <c r="AY162" s="48"/>
    </row>
    <row r="163" spans="1:51" customFormat="1" ht="14.25" customHeight="1" x14ac:dyDescent="0.45">
      <c r="A163" s="26">
        <v>2024</v>
      </c>
      <c r="B163" s="27">
        <v>12</v>
      </c>
      <c r="C163" s="54">
        <v>2</v>
      </c>
      <c r="D163" s="28">
        <v>0.4513888888888889</v>
      </c>
      <c r="E163" s="29">
        <v>6</v>
      </c>
      <c r="F163" s="30">
        <v>13.312609999999999</v>
      </c>
      <c r="G163" s="31">
        <v>100.07453</v>
      </c>
      <c r="H163" s="32">
        <v>7.9</v>
      </c>
      <c r="I163" s="54">
        <v>3</v>
      </c>
      <c r="J163" s="33" t="s">
        <v>47</v>
      </c>
      <c r="K163" s="32">
        <v>1</v>
      </c>
      <c r="L163" s="61">
        <v>7</v>
      </c>
      <c r="M163" s="35" t="s">
        <v>71</v>
      </c>
      <c r="N163" s="36">
        <v>2</v>
      </c>
      <c r="O163" s="37">
        <v>27.9</v>
      </c>
      <c r="P163" s="38">
        <v>27.914000000000001</v>
      </c>
      <c r="Q163" s="51">
        <v>27.91</v>
      </c>
      <c r="R163" s="38">
        <v>7.62</v>
      </c>
      <c r="S163" s="38">
        <v>7.9</v>
      </c>
      <c r="T163" s="37">
        <v>23.7</v>
      </c>
      <c r="U163" s="38">
        <v>25.901</v>
      </c>
      <c r="V163" s="52">
        <v>28.87</v>
      </c>
      <c r="W163" s="38">
        <v>6.11</v>
      </c>
      <c r="X163" s="38">
        <v>6.6109999999999998</v>
      </c>
      <c r="Y163" s="38">
        <v>5.88</v>
      </c>
      <c r="Z163" s="38">
        <f t="shared" si="165"/>
        <v>5.9125399620669823</v>
      </c>
      <c r="AA163" s="62">
        <v>5</v>
      </c>
      <c r="AB163" s="37">
        <v>2.7462</v>
      </c>
      <c r="AC163" s="38">
        <v>1.38</v>
      </c>
      <c r="AD163" s="43">
        <v>1.69</v>
      </c>
      <c r="AE163" s="44" t="s">
        <v>49</v>
      </c>
      <c r="AF163" s="115"/>
      <c r="AG163" s="143">
        <v>2204.0662597229748</v>
      </c>
      <c r="AH163" s="117">
        <v>7.8552216671440931</v>
      </c>
      <c r="AI163" s="116">
        <v>7.8133098315778744</v>
      </c>
      <c r="AJ163" s="150">
        <v>782.34819970069384</v>
      </c>
      <c r="AK163" s="150">
        <v>1918.4001582980347</v>
      </c>
      <c r="AL163" s="150">
        <v>119.2865522819737</v>
      </c>
      <c r="AM163" s="150">
        <v>21.58764250693979</v>
      </c>
      <c r="AN163" s="114">
        <v>3.1126972421283288</v>
      </c>
      <c r="AO163" s="114">
        <v>2.0117210745407399</v>
      </c>
      <c r="AP163" s="108">
        <f t="shared" ref="AP163:AP165" si="173">SUM(AK163:AM163)</f>
        <v>2059.2743530869479</v>
      </c>
      <c r="AQ163" s="65">
        <v>1.9785999999999999</v>
      </c>
      <c r="AR163" s="54">
        <v>41.0017</v>
      </c>
      <c r="AS163" s="54">
        <v>0.57579999999999998</v>
      </c>
      <c r="AT163" s="54">
        <v>3.8029999999999999</v>
      </c>
      <c r="AU163" s="27">
        <v>4.2629000000000001</v>
      </c>
      <c r="AV163" s="43">
        <v>560.41849999999999</v>
      </c>
      <c r="AY163" s="48" t="s">
        <v>93</v>
      </c>
    </row>
    <row r="164" spans="1:51" customFormat="1" ht="14.25" customHeight="1" x14ac:dyDescent="0.45">
      <c r="A164" s="26">
        <f t="shared" ref="A164:I164" si="174">A163</f>
        <v>2024</v>
      </c>
      <c r="B164" s="27">
        <f t="shared" si="174"/>
        <v>12</v>
      </c>
      <c r="C164" s="27">
        <f t="shared" si="174"/>
        <v>2</v>
      </c>
      <c r="D164" s="28">
        <f t="shared" si="174"/>
        <v>0.4513888888888889</v>
      </c>
      <c r="E164" s="29">
        <f t="shared" si="174"/>
        <v>6</v>
      </c>
      <c r="F164" s="49">
        <f t="shared" si="174"/>
        <v>13.312609999999999</v>
      </c>
      <c r="G164" s="31">
        <f t="shared" si="174"/>
        <v>100.07453</v>
      </c>
      <c r="H164" s="32">
        <f t="shared" si="174"/>
        <v>7.9</v>
      </c>
      <c r="I164" s="27">
        <f t="shared" si="174"/>
        <v>3</v>
      </c>
      <c r="J164" s="33" t="s">
        <v>51</v>
      </c>
      <c r="K164" s="32">
        <v>3.5</v>
      </c>
      <c r="L164" s="61"/>
      <c r="M164" s="32"/>
      <c r="N164" s="50">
        <f t="shared" ref="N164:N165" si="175">N163</f>
        <v>2</v>
      </c>
      <c r="O164" s="37">
        <v>28.4</v>
      </c>
      <c r="P164" s="38">
        <v>28.707999999999998</v>
      </c>
      <c r="Q164" s="51">
        <v>28.77</v>
      </c>
      <c r="R164" s="38">
        <v>7.63</v>
      </c>
      <c r="S164" s="38">
        <v>7.97</v>
      </c>
      <c r="T164" s="37">
        <v>25.6</v>
      </c>
      <c r="U164" s="38">
        <v>28.067</v>
      </c>
      <c r="V164" s="52">
        <v>28.8</v>
      </c>
      <c r="W164" s="38">
        <v>4.75</v>
      </c>
      <c r="X164" s="38">
        <v>5.6989999999999998</v>
      </c>
      <c r="Y164" s="38">
        <v>4.7300000000000004</v>
      </c>
      <c r="Z164" s="38">
        <f t="shared" si="165"/>
        <v>5.0082623448510812</v>
      </c>
      <c r="AA164" s="62">
        <v>7.75</v>
      </c>
      <c r="AB164" s="37"/>
      <c r="AC164" s="38">
        <v>1.96</v>
      </c>
      <c r="AD164" s="43">
        <v>1.96</v>
      </c>
      <c r="AF164" s="115"/>
      <c r="AG164" s="143">
        <v>2180.925207036797</v>
      </c>
      <c r="AH164" s="117">
        <v>7.8672038203781414</v>
      </c>
      <c r="AI164" s="116">
        <v>7.813576951377228</v>
      </c>
      <c r="AJ164" s="150">
        <v>754.81874123127227</v>
      </c>
      <c r="AK164" s="150">
        <v>1872.9362976574625</v>
      </c>
      <c r="AL164" s="150">
        <v>127.18758767924933</v>
      </c>
      <c r="AM164" s="150">
        <v>20.211870905563391</v>
      </c>
      <c r="AN164" s="114">
        <v>3.2684127881704592</v>
      </c>
      <c r="AO164" s="114">
        <v>2.1372536460221618</v>
      </c>
      <c r="AP164" s="108">
        <f t="shared" si="173"/>
        <v>2020.3357562422755</v>
      </c>
      <c r="AQ164" s="65">
        <v>1.5921000000000001</v>
      </c>
      <c r="AR164" s="54">
        <v>31.449100000000001</v>
      </c>
      <c r="AS164" s="54">
        <v>0.53</v>
      </c>
      <c r="AT164" s="54">
        <v>4.9447999999999999</v>
      </c>
      <c r="AU164" s="27">
        <v>3.3409</v>
      </c>
      <c r="AV164" s="43">
        <v>384.8141</v>
      </c>
      <c r="AY164" s="48"/>
    </row>
    <row r="165" spans="1:51" customFormat="1" ht="14.25" customHeight="1" x14ac:dyDescent="0.45">
      <c r="A165" s="26">
        <f t="shared" ref="A165:I165" si="176">A164</f>
        <v>2024</v>
      </c>
      <c r="B165" s="27">
        <f t="shared" si="176"/>
        <v>12</v>
      </c>
      <c r="C165" s="27">
        <f t="shared" si="176"/>
        <v>2</v>
      </c>
      <c r="D165" s="28">
        <f t="shared" si="176"/>
        <v>0.4513888888888889</v>
      </c>
      <c r="E165" s="29">
        <f t="shared" si="176"/>
        <v>6</v>
      </c>
      <c r="F165" s="49">
        <f t="shared" si="176"/>
        <v>13.312609999999999</v>
      </c>
      <c r="G165" s="31">
        <f t="shared" si="176"/>
        <v>100.07453</v>
      </c>
      <c r="H165" s="32">
        <f t="shared" si="176"/>
        <v>7.9</v>
      </c>
      <c r="I165" s="27">
        <f t="shared" si="176"/>
        <v>3</v>
      </c>
      <c r="J165" s="33" t="s">
        <v>52</v>
      </c>
      <c r="K165" s="32">
        <v>7</v>
      </c>
      <c r="L165" s="61"/>
      <c r="M165" s="32"/>
      <c r="N165" s="50">
        <f t="shared" si="175"/>
        <v>2</v>
      </c>
      <c r="O165" s="37">
        <v>28.1</v>
      </c>
      <c r="P165" s="38">
        <v>28.831</v>
      </c>
      <c r="Q165" s="51">
        <v>28.84</v>
      </c>
      <c r="R165" s="38">
        <v>7.67</v>
      </c>
      <c r="S165" s="38">
        <v>7.96</v>
      </c>
      <c r="T165" s="37">
        <v>24.6</v>
      </c>
      <c r="U165" s="38">
        <v>29.155000000000001</v>
      </c>
      <c r="V165" s="52">
        <v>29.09</v>
      </c>
      <c r="W165" s="38">
        <v>5</v>
      </c>
      <c r="X165" s="38">
        <v>4.57</v>
      </c>
      <c r="Y165" s="38">
        <v>4.2300000000000004</v>
      </c>
      <c r="Z165" s="38">
        <f t="shared" si="165"/>
        <v>4.6150981634528634</v>
      </c>
      <c r="AA165" s="62">
        <v>6.05</v>
      </c>
      <c r="AB165" s="37"/>
      <c r="AC165" s="38">
        <v>1.98</v>
      </c>
      <c r="AD165" s="43">
        <v>3.27</v>
      </c>
      <c r="AF165" s="115"/>
      <c r="AG165" s="143">
        <v>2193.5988105340366</v>
      </c>
      <c r="AH165" s="117">
        <v>7.8588242157259716</v>
      </c>
      <c r="AI165" s="116">
        <v>7.8033479195935227</v>
      </c>
      <c r="AJ165" s="150">
        <v>770.77152742951057</v>
      </c>
      <c r="AK165" s="150">
        <v>1880.2863952166954</v>
      </c>
      <c r="AL165" s="150">
        <v>128.92470361849561</v>
      </c>
      <c r="AM165" s="150">
        <v>20.466521322408436</v>
      </c>
      <c r="AN165" s="114">
        <v>3.2830552784979954</v>
      </c>
      <c r="AO165" s="114">
        <v>2.15659681027191</v>
      </c>
      <c r="AP165" s="108">
        <f t="shared" si="173"/>
        <v>2029.6776201575994</v>
      </c>
      <c r="AQ165" s="65">
        <v>0.77090000000000003</v>
      </c>
      <c r="AR165" s="54">
        <v>34.866999999999997</v>
      </c>
      <c r="AS165" s="54">
        <v>0.57579999999999998</v>
      </c>
      <c r="AT165" s="54">
        <v>1.4384999999999999</v>
      </c>
      <c r="AU165" s="27">
        <v>3.6516999999999999</v>
      </c>
      <c r="AV165" s="43">
        <v>224.51439999999999</v>
      </c>
      <c r="AY165" s="48"/>
    </row>
    <row r="166" spans="1:51" customFormat="1" ht="14.25" customHeight="1" x14ac:dyDescent="0.45">
      <c r="A166" s="26">
        <v>2024</v>
      </c>
      <c r="B166" s="27">
        <v>12</v>
      </c>
      <c r="C166" s="54">
        <v>2</v>
      </c>
      <c r="D166" s="28">
        <v>0.6333333333333333</v>
      </c>
      <c r="E166" s="29">
        <v>26</v>
      </c>
      <c r="F166" s="30">
        <v>13.24503</v>
      </c>
      <c r="G166" s="31">
        <v>100.39897999999999</v>
      </c>
      <c r="H166" s="32">
        <v>15.7</v>
      </c>
      <c r="I166" s="54">
        <v>3</v>
      </c>
      <c r="J166" s="33" t="s">
        <v>47</v>
      </c>
      <c r="K166" s="32">
        <v>1</v>
      </c>
      <c r="L166" s="61">
        <v>2</v>
      </c>
      <c r="M166" s="35" t="s">
        <v>71</v>
      </c>
      <c r="N166" s="36">
        <v>2</v>
      </c>
      <c r="O166" s="37">
        <v>29.1</v>
      </c>
      <c r="P166" s="38">
        <v>28.965</v>
      </c>
      <c r="Q166" s="51">
        <v>28.99</v>
      </c>
      <c r="R166" s="38">
        <v>8</v>
      </c>
      <c r="S166" s="38">
        <v>8.2799999999999994</v>
      </c>
      <c r="T166" s="37">
        <v>28.2</v>
      </c>
      <c r="U166" s="38">
        <v>30.832000000000001</v>
      </c>
      <c r="V166" s="52">
        <v>30.82</v>
      </c>
      <c r="W166" s="38">
        <v>9.2799999999999994</v>
      </c>
      <c r="X166" s="38">
        <v>9.9320000000000004</v>
      </c>
      <c r="Y166" s="38">
        <v>9.48</v>
      </c>
      <c r="Z166" s="38">
        <f t="shared" si="165"/>
        <v>8.7433220681341517</v>
      </c>
      <c r="AA166" s="62">
        <v>10.050000000000001</v>
      </c>
      <c r="AB166" s="37">
        <v>3.1141000000000001</v>
      </c>
      <c r="AC166" s="38">
        <v>3.74</v>
      </c>
      <c r="AD166" s="43">
        <v>4.4400000000000004</v>
      </c>
      <c r="AE166" s="44" t="s">
        <v>49</v>
      </c>
      <c r="AF166" s="120" t="s">
        <v>49</v>
      </c>
      <c r="AG166" s="143"/>
      <c r="AH166" s="117"/>
      <c r="AI166" s="116"/>
      <c r="AJ166" s="150"/>
      <c r="AK166" s="150"/>
      <c r="AL166" s="150"/>
      <c r="AM166" s="150"/>
      <c r="AN166" s="114"/>
      <c r="AO166" s="114"/>
      <c r="AP166" s="60"/>
      <c r="AQ166" s="65">
        <v>0.38450000000000001</v>
      </c>
      <c r="AR166" s="54">
        <v>10.2844</v>
      </c>
      <c r="AS166" s="54">
        <v>0.2097</v>
      </c>
      <c r="AT166" s="54">
        <v>2.8769999999999998</v>
      </c>
      <c r="AU166" s="27">
        <v>1.3629</v>
      </c>
      <c r="AV166" s="43">
        <v>94.527600000000007</v>
      </c>
      <c r="AY166" s="48" t="s">
        <v>94</v>
      </c>
    </row>
    <row r="167" spans="1:51" customFormat="1" ht="14.25" customHeight="1" x14ac:dyDescent="0.45">
      <c r="A167" s="26">
        <f t="shared" ref="A167:I167" si="177">A166</f>
        <v>2024</v>
      </c>
      <c r="B167" s="27">
        <f t="shared" si="177"/>
        <v>12</v>
      </c>
      <c r="C167" s="27">
        <f t="shared" si="177"/>
        <v>2</v>
      </c>
      <c r="D167" s="28">
        <f t="shared" si="177"/>
        <v>0.6333333333333333</v>
      </c>
      <c r="E167" s="29">
        <f t="shared" si="177"/>
        <v>26</v>
      </c>
      <c r="F167" s="49">
        <f t="shared" si="177"/>
        <v>13.24503</v>
      </c>
      <c r="G167" s="31">
        <f t="shared" si="177"/>
        <v>100.39897999999999</v>
      </c>
      <c r="H167" s="32">
        <f t="shared" si="177"/>
        <v>15.7</v>
      </c>
      <c r="I167" s="27">
        <f t="shared" si="177"/>
        <v>3</v>
      </c>
      <c r="J167" s="33" t="s">
        <v>51</v>
      </c>
      <c r="K167" s="32">
        <v>7.5</v>
      </c>
      <c r="L167" s="61"/>
      <c r="M167" s="32"/>
      <c r="N167" s="50">
        <f t="shared" ref="N167:N168" si="178">N166</f>
        <v>2</v>
      </c>
      <c r="O167" s="37">
        <v>29.1</v>
      </c>
      <c r="P167" s="38">
        <v>28.69</v>
      </c>
      <c r="Q167" s="51">
        <v>28.69</v>
      </c>
      <c r="R167" s="54">
        <v>7.99</v>
      </c>
      <c r="S167" s="66">
        <v>8.11</v>
      </c>
      <c r="T167" s="37">
        <v>28.9</v>
      </c>
      <c r="U167" s="38">
        <v>31.914000000000001</v>
      </c>
      <c r="V167" s="43">
        <v>31.85</v>
      </c>
      <c r="W167" s="38">
        <v>7.14</v>
      </c>
      <c r="X167" s="38">
        <v>6.742</v>
      </c>
      <c r="Y167" s="38">
        <v>6.42</v>
      </c>
      <c r="Z167" s="38">
        <f t="shared" si="165"/>
        <v>6.3371572779770577</v>
      </c>
      <c r="AA167" s="62">
        <v>7.6</v>
      </c>
      <c r="AB167" s="37"/>
      <c r="AC167" s="38">
        <v>0.75</v>
      </c>
      <c r="AD167" s="43">
        <v>1.29</v>
      </c>
      <c r="AF167" s="115"/>
      <c r="AG167" s="143"/>
      <c r="AH167" s="117"/>
      <c r="AI167" s="116"/>
      <c r="AJ167" s="150"/>
      <c r="AK167" s="150"/>
      <c r="AL167" s="150"/>
      <c r="AM167" s="150"/>
      <c r="AN167" s="114"/>
      <c r="AO167" s="114"/>
      <c r="AP167" s="60"/>
      <c r="AQ167" s="65">
        <v>0.43280000000000002</v>
      </c>
      <c r="AR167" s="54">
        <v>10.3283</v>
      </c>
      <c r="AS167" s="54">
        <v>0.25540000000000002</v>
      </c>
      <c r="AT167" s="54">
        <v>2.1577000000000002</v>
      </c>
      <c r="AU167" s="27">
        <v>1.4968999999999999</v>
      </c>
      <c r="AV167" s="43">
        <v>71.025400000000005</v>
      </c>
      <c r="AY167" s="48"/>
    </row>
    <row r="168" spans="1:51" customFormat="1" ht="14.25" customHeight="1" x14ac:dyDescent="0.45">
      <c r="A168" s="26">
        <f t="shared" ref="A168:I168" si="179">A167</f>
        <v>2024</v>
      </c>
      <c r="B168" s="27">
        <f t="shared" si="179"/>
        <v>12</v>
      </c>
      <c r="C168" s="27">
        <f t="shared" si="179"/>
        <v>2</v>
      </c>
      <c r="D168" s="28">
        <f t="shared" si="179"/>
        <v>0.6333333333333333</v>
      </c>
      <c r="E168" s="29">
        <f t="shared" si="179"/>
        <v>26</v>
      </c>
      <c r="F168" s="49">
        <f t="shared" si="179"/>
        <v>13.24503</v>
      </c>
      <c r="G168" s="31">
        <f t="shared" si="179"/>
        <v>100.39897999999999</v>
      </c>
      <c r="H168" s="32">
        <f t="shared" si="179"/>
        <v>15.7</v>
      </c>
      <c r="I168" s="27">
        <f t="shared" si="179"/>
        <v>3</v>
      </c>
      <c r="J168" s="33" t="s">
        <v>52</v>
      </c>
      <c r="K168" s="32">
        <v>14</v>
      </c>
      <c r="L168" s="61"/>
      <c r="M168" s="32"/>
      <c r="N168" s="50">
        <f t="shared" si="178"/>
        <v>2</v>
      </c>
      <c r="O168" s="37">
        <v>28.6</v>
      </c>
      <c r="P168" s="38">
        <v>28.652000000000001</v>
      </c>
      <c r="Q168" s="51">
        <v>28.66</v>
      </c>
      <c r="R168" s="38">
        <v>7.79</v>
      </c>
      <c r="S168" s="66">
        <v>8.1</v>
      </c>
      <c r="T168" s="37">
        <v>29.1</v>
      </c>
      <c r="U168" s="38">
        <v>31.98</v>
      </c>
      <c r="V168" s="52">
        <v>31.86</v>
      </c>
      <c r="W168" s="38">
        <v>6.44</v>
      </c>
      <c r="X168" s="38">
        <v>6.51</v>
      </c>
      <c r="Y168" s="38">
        <v>6.24</v>
      </c>
      <c r="Z168" s="38">
        <f t="shared" si="165"/>
        <v>6.1956181726736999</v>
      </c>
      <c r="AA168" s="62">
        <v>8.4</v>
      </c>
      <c r="AB168" s="37"/>
      <c r="AC168" s="38">
        <v>0.69</v>
      </c>
      <c r="AD168" s="43">
        <v>1.2</v>
      </c>
      <c r="AF168" s="115"/>
      <c r="AG168" s="143"/>
      <c r="AH168" s="117"/>
      <c r="AI168" s="116"/>
      <c r="AJ168" s="150"/>
      <c r="AK168" s="150"/>
      <c r="AL168" s="150"/>
      <c r="AM168" s="150"/>
      <c r="AN168" s="114"/>
      <c r="AO168" s="114"/>
      <c r="AP168" s="60"/>
      <c r="AQ168" s="65">
        <v>0.1913</v>
      </c>
      <c r="AR168" s="54">
        <v>9.0137</v>
      </c>
      <c r="AS168" s="54">
        <v>0.25540000000000002</v>
      </c>
      <c r="AT168" s="54">
        <v>3.1467000000000001</v>
      </c>
      <c r="AU168" s="27">
        <v>1.3621000000000001</v>
      </c>
      <c r="AV168" s="43">
        <v>107.4483</v>
      </c>
      <c r="AY168" s="48"/>
    </row>
    <row r="169" spans="1:51" customFormat="1" ht="14.25" customHeight="1" x14ac:dyDescent="0.45">
      <c r="A169" s="26">
        <v>2024</v>
      </c>
      <c r="B169" s="27">
        <v>12</v>
      </c>
      <c r="C169" s="54">
        <v>2</v>
      </c>
      <c r="D169" s="28">
        <v>0.68055555555555558</v>
      </c>
      <c r="E169" s="29">
        <v>27</v>
      </c>
      <c r="F169" s="30">
        <v>13.18117</v>
      </c>
      <c r="G169" s="31">
        <v>100.39963</v>
      </c>
      <c r="H169" s="32">
        <v>17</v>
      </c>
      <c r="I169" s="54">
        <v>3</v>
      </c>
      <c r="J169" s="33" t="s">
        <v>47</v>
      </c>
      <c r="K169" s="32">
        <v>1</v>
      </c>
      <c r="L169" s="61">
        <v>2</v>
      </c>
      <c r="M169" s="35" t="s">
        <v>71</v>
      </c>
      <c r="N169" s="36">
        <v>4</v>
      </c>
      <c r="O169" s="37">
        <v>28.8</v>
      </c>
      <c r="P169" s="38">
        <v>29.257999999999999</v>
      </c>
      <c r="Q169" s="51">
        <v>29.27</v>
      </c>
      <c r="R169" s="38">
        <v>7.9</v>
      </c>
      <c r="S169" s="38">
        <v>8.14</v>
      </c>
      <c r="T169" s="37">
        <v>29.1</v>
      </c>
      <c r="U169" s="38">
        <v>31.893999999999998</v>
      </c>
      <c r="V169" s="52">
        <v>31.88</v>
      </c>
      <c r="W169" s="38"/>
      <c r="X169" s="38">
        <v>7.02</v>
      </c>
      <c r="Y169" s="38">
        <v>6.57</v>
      </c>
      <c r="Z169" s="38">
        <f t="shared" si="165"/>
        <v>6.4551065323965231</v>
      </c>
      <c r="AA169" s="62"/>
      <c r="AB169" s="37"/>
      <c r="AC169" s="38">
        <v>0.4</v>
      </c>
      <c r="AD169" s="43">
        <v>0.53</v>
      </c>
      <c r="AF169" s="115"/>
      <c r="AG169" s="143"/>
      <c r="AH169" s="117"/>
      <c r="AI169" s="116"/>
      <c r="AJ169" s="150"/>
      <c r="AK169" s="150"/>
      <c r="AL169" s="150"/>
      <c r="AM169" s="150"/>
      <c r="AN169" s="114"/>
      <c r="AO169" s="114"/>
      <c r="AP169" s="60"/>
      <c r="AQ169" s="65"/>
      <c r="AU169" s="27"/>
      <c r="AV169" s="43"/>
      <c r="AY169" s="48" t="s">
        <v>94</v>
      </c>
    </row>
    <row r="170" spans="1:51" customFormat="1" ht="14.25" customHeight="1" x14ac:dyDescent="0.45">
      <c r="A170" s="26">
        <f t="shared" ref="A170:I170" si="180">A169</f>
        <v>2024</v>
      </c>
      <c r="B170" s="27">
        <f t="shared" si="180"/>
        <v>12</v>
      </c>
      <c r="C170" s="27">
        <f t="shared" si="180"/>
        <v>2</v>
      </c>
      <c r="D170" s="28">
        <f t="shared" si="180"/>
        <v>0.68055555555555558</v>
      </c>
      <c r="E170" s="29">
        <f t="shared" si="180"/>
        <v>27</v>
      </c>
      <c r="F170" s="49">
        <f t="shared" si="180"/>
        <v>13.18117</v>
      </c>
      <c r="G170" s="31">
        <f t="shared" si="180"/>
        <v>100.39963</v>
      </c>
      <c r="H170" s="32">
        <f t="shared" si="180"/>
        <v>17</v>
      </c>
      <c r="I170" s="27">
        <f t="shared" si="180"/>
        <v>3</v>
      </c>
      <c r="J170" s="33" t="s">
        <v>51</v>
      </c>
      <c r="K170" s="32">
        <v>8.5</v>
      </c>
      <c r="L170" s="61"/>
      <c r="M170" s="32"/>
      <c r="N170" s="50">
        <f t="shared" ref="N170:N171" si="181">N169</f>
        <v>4</v>
      </c>
      <c r="O170" s="37">
        <v>28.8</v>
      </c>
      <c r="P170" s="38">
        <v>28.783000000000001</v>
      </c>
      <c r="Q170" s="51">
        <v>28.79</v>
      </c>
      <c r="R170" s="38">
        <v>7.83</v>
      </c>
      <c r="S170" s="38">
        <v>8.14</v>
      </c>
      <c r="T170" s="37">
        <v>29.2</v>
      </c>
      <c r="U170" s="38">
        <v>31.92</v>
      </c>
      <c r="V170" s="43">
        <v>31.85</v>
      </c>
      <c r="W170" s="38"/>
      <c r="X170" s="38">
        <v>6.9889999999999999</v>
      </c>
      <c r="Y170" s="38">
        <v>6.58</v>
      </c>
      <c r="Z170" s="38">
        <f t="shared" si="165"/>
        <v>6.4629698160244873</v>
      </c>
      <c r="AA170" s="62"/>
      <c r="AB170" s="37"/>
      <c r="AC170" s="38">
        <v>0.74</v>
      </c>
      <c r="AD170" s="43">
        <v>1.1299999999999999</v>
      </c>
      <c r="AF170" s="115"/>
      <c r="AG170" s="143"/>
      <c r="AH170" s="117"/>
      <c r="AI170" s="116"/>
      <c r="AJ170" s="150"/>
      <c r="AK170" s="150"/>
      <c r="AL170" s="150"/>
      <c r="AM170" s="150"/>
      <c r="AN170" s="114"/>
      <c r="AO170" s="114"/>
      <c r="AP170" s="60"/>
      <c r="AQ170" s="65"/>
      <c r="AU170" s="27"/>
      <c r="AV170" s="43"/>
      <c r="AY170" s="48"/>
    </row>
    <row r="171" spans="1:51" customFormat="1" ht="14.25" customHeight="1" x14ac:dyDescent="0.45">
      <c r="A171" s="26">
        <f t="shared" ref="A171:I171" si="182">A170</f>
        <v>2024</v>
      </c>
      <c r="B171" s="27">
        <f t="shared" si="182"/>
        <v>12</v>
      </c>
      <c r="C171" s="27">
        <f t="shared" si="182"/>
        <v>2</v>
      </c>
      <c r="D171" s="28">
        <f t="shared" si="182"/>
        <v>0.68055555555555558</v>
      </c>
      <c r="E171" s="29">
        <f t="shared" si="182"/>
        <v>27</v>
      </c>
      <c r="F171" s="49">
        <f t="shared" si="182"/>
        <v>13.18117</v>
      </c>
      <c r="G171" s="31">
        <f t="shared" si="182"/>
        <v>100.39963</v>
      </c>
      <c r="H171" s="32">
        <f t="shared" si="182"/>
        <v>17</v>
      </c>
      <c r="I171" s="27">
        <f t="shared" si="182"/>
        <v>3</v>
      </c>
      <c r="J171" s="33" t="s">
        <v>52</v>
      </c>
      <c r="K171" s="32">
        <v>16</v>
      </c>
      <c r="L171" s="61"/>
      <c r="M171" s="32"/>
      <c r="N171" s="50">
        <f t="shared" si="181"/>
        <v>4</v>
      </c>
      <c r="O171" s="37">
        <v>28.7</v>
      </c>
      <c r="P171" s="38">
        <v>28.754999999999999</v>
      </c>
      <c r="Q171" s="51">
        <v>28.76</v>
      </c>
      <c r="R171" s="38">
        <v>7.79</v>
      </c>
      <c r="S171" s="38">
        <v>8.1300000000000008</v>
      </c>
      <c r="T171" s="37">
        <v>29.2</v>
      </c>
      <c r="U171" s="38">
        <v>31.978999999999999</v>
      </c>
      <c r="V171" s="52">
        <v>31.85</v>
      </c>
      <c r="W171" s="38"/>
      <c r="X171" s="38">
        <v>6.7610000000000001</v>
      </c>
      <c r="Y171" s="38">
        <v>6.38</v>
      </c>
      <c r="Z171" s="38">
        <f t="shared" si="165"/>
        <v>6.3057041434652001</v>
      </c>
      <c r="AA171" s="62"/>
      <c r="AB171" s="37"/>
      <c r="AC171" s="38">
        <v>0.91</v>
      </c>
      <c r="AD171" s="43">
        <v>1.42</v>
      </c>
      <c r="AF171" s="115"/>
      <c r="AG171" s="143"/>
      <c r="AH171" s="117"/>
      <c r="AI171" s="116"/>
      <c r="AJ171" s="150"/>
      <c r="AK171" s="150"/>
      <c r="AL171" s="150"/>
      <c r="AM171" s="150"/>
      <c r="AN171" s="114"/>
      <c r="AO171" s="114"/>
      <c r="AP171" s="104"/>
      <c r="AQ171" s="65"/>
      <c r="AU171" s="27"/>
      <c r="AV171" s="43"/>
      <c r="AY171" s="48"/>
    </row>
    <row r="172" spans="1:51" customFormat="1" ht="14.25" customHeight="1" x14ac:dyDescent="0.45">
      <c r="A172" s="26">
        <v>2024</v>
      </c>
      <c r="B172" s="27">
        <v>12</v>
      </c>
      <c r="C172" s="54">
        <v>2</v>
      </c>
      <c r="D172" s="28">
        <v>0.70694444444444449</v>
      </c>
      <c r="E172" s="29" t="s">
        <v>95</v>
      </c>
      <c r="F172" s="30">
        <v>13.132569999999999</v>
      </c>
      <c r="G172" s="31">
        <v>100.33396999999999</v>
      </c>
      <c r="H172" s="32">
        <v>10.1</v>
      </c>
      <c r="I172" s="54">
        <v>3</v>
      </c>
      <c r="J172" s="33" t="s">
        <v>47</v>
      </c>
      <c r="K172" s="32">
        <v>1</v>
      </c>
      <c r="L172" s="61">
        <v>2</v>
      </c>
      <c r="M172" s="35" t="s">
        <v>71</v>
      </c>
      <c r="N172" s="36">
        <v>2.8</v>
      </c>
      <c r="O172" s="37">
        <v>29.1</v>
      </c>
      <c r="P172" s="38">
        <v>29.117999999999999</v>
      </c>
      <c r="Q172" s="51">
        <v>29.11</v>
      </c>
      <c r="R172" s="38">
        <v>7.9</v>
      </c>
      <c r="S172" s="66">
        <v>8.2799999999999994</v>
      </c>
      <c r="T172" s="37">
        <v>29.1</v>
      </c>
      <c r="U172" s="38">
        <v>31.216999999999999</v>
      </c>
      <c r="V172" s="52">
        <v>31.21</v>
      </c>
      <c r="W172" s="38"/>
      <c r="X172" s="38">
        <v>9.2729999999999997</v>
      </c>
      <c r="Y172" s="38">
        <v>8.92</v>
      </c>
      <c r="Z172" s="38">
        <f t="shared" si="165"/>
        <v>8.302978184968147</v>
      </c>
      <c r="AA172" s="62"/>
      <c r="AB172" s="37"/>
      <c r="AC172" s="38">
        <v>2.23</v>
      </c>
      <c r="AD172" s="43">
        <v>2.96</v>
      </c>
      <c r="AE172" s="44"/>
      <c r="AF172" s="120"/>
      <c r="AG172" s="143"/>
      <c r="AH172" s="117"/>
      <c r="AI172" s="116"/>
      <c r="AJ172" s="150"/>
      <c r="AK172" s="150"/>
      <c r="AL172" s="150"/>
      <c r="AM172" s="150"/>
      <c r="AN172" s="114"/>
      <c r="AO172" s="114"/>
      <c r="AP172" s="104"/>
      <c r="AQ172" s="65"/>
      <c r="AU172" s="27"/>
      <c r="AV172" s="43"/>
      <c r="AY172" s="48" t="s">
        <v>85</v>
      </c>
    </row>
    <row r="173" spans="1:51" customFormat="1" ht="14.25" customHeight="1" x14ac:dyDescent="0.45">
      <c r="A173" s="26">
        <f t="shared" ref="A173:I173" si="183">A172</f>
        <v>2024</v>
      </c>
      <c r="B173" s="27">
        <f t="shared" si="183"/>
        <v>12</v>
      </c>
      <c r="C173" s="27">
        <f t="shared" si="183"/>
        <v>2</v>
      </c>
      <c r="D173" s="28">
        <f t="shared" si="183"/>
        <v>0.70694444444444449</v>
      </c>
      <c r="E173" s="29" t="str">
        <f t="shared" si="183"/>
        <v>C16</v>
      </c>
      <c r="F173" s="49">
        <f t="shared" si="183"/>
        <v>13.132569999999999</v>
      </c>
      <c r="G173" s="31">
        <f t="shared" si="183"/>
        <v>100.33396999999999</v>
      </c>
      <c r="H173" s="32">
        <f t="shared" si="183"/>
        <v>10.1</v>
      </c>
      <c r="I173" s="27">
        <f t="shared" si="183"/>
        <v>3</v>
      </c>
      <c r="J173" s="33" t="s">
        <v>51</v>
      </c>
      <c r="K173" s="32">
        <v>5</v>
      </c>
      <c r="L173" s="61"/>
      <c r="M173" s="32"/>
      <c r="N173" s="50">
        <f t="shared" ref="N173:N174" si="184">N172</f>
        <v>2.8</v>
      </c>
      <c r="O173" s="37">
        <v>28.8</v>
      </c>
      <c r="P173" s="38">
        <v>28.991</v>
      </c>
      <c r="Q173" s="51">
        <v>28.99</v>
      </c>
      <c r="R173" s="54">
        <v>7.83</v>
      </c>
      <c r="S173" s="66">
        <v>8.16</v>
      </c>
      <c r="T173" s="37">
        <v>29.2</v>
      </c>
      <c r="U173" s="38">
        <v>31.818999999999999</v>
      </c>
      <c r="V173" s="43">
        <v>31.8</v>
      </c>
      <c r="X173" s="38">
        <v>7.1390000000000002</v>
      </c>
      <c r="Y173" s="38">
        <v>6.78</v>
      </c>
      <c r="Z173" s="38">
        <f t="shared" si="165"/>
        <v>6.6202354885837753</v>
      </c>
      <c r="AA173" s="62"/>
      <c r="AB173" s="37"/>
      <c r="AC173" s="38">
        <v>0.63</v>
      </c>
      <c r="AD173" s="43">
        <v>0.74</v>
      </c>
      <c r="AF173" s="115"/>
      <c r="AG173" s="143"/>
      <c r="AH173" s="117"/>
      <c r="AI173" s="116"/>
      <c r="AJ173" s="150"/>
      <c r="AK173" s="150"/>
      <c r="AL173" s="150"/>
      <c r="AM173" s="150"/>
      <c r="AN173" s="114"/>
      <c r="AO173" s="114"/>
      <c r="AP173" s="104"/>
      <c r="AQ173" s="65"/>
      <c r="AU173" s="27"/>
      <c r="AV173" s="43"/>
      <c r="AY173" s="48"/>
    </row>
    <row r="174" spans="1:51" customFormat="1" ht="14.25" customHeight="1" x14ac:dyDescent="0.45">
      <c r="A174" s="26">
        <f t="shared" ref="A174:I174" si="185">A173</f>
        <v>2024</v>
      </c>
      <c r="B174" s="27">
        <f t="shared" si="185"/>
        <v>12</v>
      </c>
      <c r="C174" s="27">
        <f t="shared" si="185"/>
        <v>2</v>
      </c>
      <c r="D174" s="28">
        <f t="shared" si="185"/>
        <v>0.70694444444444449</v>
      </c>
      <c r="E174" s="29" t="str">
        <f t="shared" si="185"/>
        <v>C16</v>
      </c>
      <c r="F174" s="49">
        <f t="shared" si="185"/>
        <v>13.132569999999999</v>
      </c>
      <c r="G174" s="31">
        <f t="shared" si="185"/>
        <v>100.33396999999999</v>
      </c>
      <c r="H174" s="32">
        <f t="shared" si="185"/>
        <v>10.1</v>
      </c>
      <c r="I174" s="27">
        <f t="shared" si="185"/>
        <v>3</v>
      </c>
      <c r="J174" s="33" t="s">
        <v>52</v>
      </c>
      <c r="K174" s="32">
        <v>9</v>
      </c>
      <c r="L174" s="61"/>
      <c r="M174" s="32"/>
      <c r="N174" s="50">
        <f t="shared" si="184"/>
        <v>2.8</v>
      </c>
      <c r="O174" s="37">
        <v>28.9</v>
      </c>
      <c r="P174" s="38">
        <v>28.931000000000001</v>
      </c>
      <c r="Q174" s="51">
        <v>28.92</v>
      </c>
      <c r="R174" s="38">
        <v>7.79</v>
      </c>
      <c r="S174" s="38">
        <v>8.15</v>
      </c>
      <c r="T174" s="37">
        <v>29.2</v>
      </c>
      <c r="U174" s="38">
        <v>31.948</v>
      </c>
      <c r="V174" s="52">
        <v>31.88</v>
      </c>
      <c r="W174" s="38"/>
      <c r="X174" s="38">
        <v>6.923</v>
      </c>
      <c r="Y174" s="38">
        <v>6.63</v>
      </c>
      <c r="Z174" s="51">
        <f t="shared" si="165"/>
        <v>6.5022862341643091</v>
      </c>
      <c r="AA174" s="62"/>
      <c r="AB174" s="37"/>
      <c r="AC174" s="38">
        <v>0.46</v>
      </c>
      <c r="AD174" s="43">
        <v>0.74</v>
      </c>
      <c r="AF174" s="115"/>
      <c r="AG174" s="143"/>
      <c r="AH174" s="117"/>
      <c r="AI174" s="116"/>
      <c r="AJ174" s="150"/>
      <c r="AK174" s="150"/>
      <c r="AL174" s="150"/>
      <c r="AM174" s="150"/>
      <c r="AN174" s="114"/>
      <c r="AO174" s="114"/>
      <c r="AP174" s="104"/>
      <c r="AQ174" s="65"/>
      <c r="AU174" s="27"/>
      <c r="AV174" s="43"/>
      <c r="AY174" s="48"/>
    </row>
    <row r="175" spans="1:51" customFormat="1" ht="14.25" customHeight="1" x14ac:dyDescent="0.45">
      <c r="A175" s="26">
        <v>2024</v>
      </c>
      <c r="B175" s="27">
        <v>12</v>
      </c>
      <c r="C175" s="27">
        <v>2</v>
      </c>
      <c r="D175" s="67">
        <v>0.73263888888888884</v>
      </c>
      <c r="E175" s="29">
        <v>28</v>
      </c>
      <c r="F175" s="68">
        <v>13.132400000000001</v>
      </c>
      <c r="G175" s="69">
        <v>100.39832</v>
      </c>
      <c r="H175" s="32">
        <v>18.7</v>
      </c>
      <c r="I175" s="27">
        <v>3</v>
      </c>
      <c r="J175" s="33" t="s">
        <v>47</v>
      </c>
      <c r="K175" s="60">
        <v>1</v>
      </c>
      <c r="L175" s="34">
        <v>5</v>
      </c>
      <c r="M175" s="35" t="s">
        <v>71</v>
      </c>
      <c r="N175" s="36">
        <v>4</v>
      </c>
      <c r="O175" s="37">
        <v>28.9</v>
      </c>
      <c r="P175" s="38">
        <v>29.14</v>
      </c>
      <c r="Q175" s="51">
        <v>29.15</v>
      </c>
      <c r="R175" s="38">
        <v>7.83</v>
      </c>
      <c r="S175" s="38">
        <v>8.17</v>
      </c>
      <c r="T175" s="37">
        <v>29.1</v>
      </c>
      <c r="U175" s="38">
        <v>31.878</v>
      </c>
      <c r="V175" s="38">
        <v>31.86</v>
      </c>
      <c r="W175" s="38">
        <v>6.93</v>
      </c>
      <c r="X175" s="38">
        <v>7.3479999999999999</v>
      </c>
      <c r="Y175" s="38">
        <v>6.78</v>
      </c>
      <c r="Z175" s="51">
        <f t="shared" si="165"/>
        <v>6.6202354885837753</v>
      </c>
      <c r="AA175" s="56">
        <v>5.35</v>
      </c>
      <c r="AB175" s="53">
        <v>0.57010000000000005</v>
      </c>
      <c r="AC175" s="42">
        <v>0.41</v>
      </c>
      <c r="AD175" s="43">
        <v>0.66</v>
      </c>
      <c r="AE175" s="44" t="s">
        <v>49</v>
      </c>
      <c r="AF175" s="120"/>
      <c r="AG175" s="143"/>
      <c r="AH175" s="117"/>
      <c r="AI175" s="116"/>
      <c r="AJ175" s="150"/>
      <c r="AK175" s="150"/>
      <c r="AL175" s="150"/>
      <c r="AM175" s="150"/>
      <c r="AN175" s="114"/>
      <c r="AO175" s="114"/>
      <c r="AP175" s="104"/>
      <c r="AQ175" s="65">
        <v>9.4600000000000004E-2</v>
      </c>
      <c r="AR175" s="54">
        <v>9.4519000000000002</v>
      </c>
      <c r="AS175" s="54">
        <v>0.24399999999999999</v>
      </c>
      <c r="AT175" s="54">
        <v>3.4163999999999999</v>
      </c>
      <c r="AU175" s="27">
        <v>1.3286</v>
      </c>
      <c r="AV175" s="43">
        <v>121.82510000000001</v>
      </c>
      <c r="AY175" s="48" t="s">
        <v>88</v>
      </c>
    </row>
    <row r="176" spans="1:51" customFormat="1" ht="14.25" customHeight="1" x14ac:dyDescent="0.45">
      <c r="A176" s="26">
        <f t="shared" ref="A176:I176" si="186">A175</f>
        <v>2024</v>
      </c>
      <c r="B176" s="27">
        <f t="shared" si="186"/>
        <v>12</v>
      </c>
      <c r="C176" s="27">
        <f t="shared" si="186"/>
        <v>2</v>
      </c>
      <c r="D176" s="28">
        <f t="shared" si="186"/>
        <v>0.73263888888888884</v>
      </c>
      <c r="E176" s="29">
        <f t="shared" si="186"/>
        <v>28</v>
      </c>
      <c r="F176" s="49">
        <f t="shared" si="186"/>
        <v>13.132400000000001</v>
      </c>
      <c r="G176" s="31">
        <f t="shared" si="186"/>
        <v>100.39832</v>
      </c>
      <c r="H176" s="32">
        <f t="shared" si="186"/>
        <v>18.7</v>
      </c>
      <c r="I176" s="27">
        <f t="shared" si="186"/>
        <v>3</v>
      </c>
      <c r="J176" s="33" t="s">
        <v>51</v>
      </c>
      <c r="K176" s="32">
        <v>9</v>
      </c>
      <c r="L176" s="34"/>
      <c r="M176" s="35"/>
      <c r="N176" s="50">
        <f t="shared" ref="N176:N177" si="187">N175</f>
        <v>4</v>
      </c>
      <c r="O176" s="37">
        <v>28.7</v>
      </c>
      <c r="P176" s="38">
        <v>28.795000000000002</v>
      </c>
      <c r="Q176" s="51">
        <v>28.8</v>
      </c>
      <c r="R176" s="38">
        <v>7.83</v>
      </c>
      <c r="S176" s="38">
        <v>8.18</v>
      </c>
      <c r="T176" s="37">
        <v>29.1</v>
      </c>
      <c r="U176" s="38">
        <v>31.922000000000001</v>
      </c>
      <c r="V176" s="38">
        <v>31.85</v>
      </c>
      <c r="W176" s="38">
        <v>6.89</v>
      </c>
      <c r="X176" s="38">
        <v>7.2949999999999999</v>
      </c>
      <c r="Y176" s="38">
        <v>6.8</v>
      </c>
      <c r="Z176" s="51">
        <f t="shared" si="165"/>
        <v>6.6359620558397037</v>
      </c>
      <c r="AA176" s="41">
        <v>5.65</v>
      </c>
      <c r="AB176" s="53"/>
      <c r="AC176" s="42">
        <v>0.72</v>
      </c>
      <c r="AD176" s="43">
        <v>1.1399999999999999</v>
      </c>
      <c r="AF176" s="115"/>
      <c r="AG176" s="143"/>
      <c r="AH176" s="117"/>
      <c r="AI176" s="116"/>
      <c r="AJ176" s="150"/>
      <c r="AK176" s="150"/>
      <c r="AL176" s="150"/>
      <c r="AM176" s="150"/>
      <c r="AN176" s="114"/>
      <c r="AO176" s="114"/>
      <c r="AP176" s="104"/>
      <c r="AQ176" s="65">
        <v>9.4600000000000004E-2</v>
      </c>
      <c r="AR176" s="54">
        <v>6.9980000000000002</v>
      </c>
      <c r="AS176" s="54">
        <v>0.27829999999999999</v>
      </c>
      <c r="AT176" s="54">
        <v>1.7981</v>
      </c>
      <c r="AU176" s="27">
        <v>1.2943</v>
      </c>
      <c r="AV176" s="43">
        <v>123.78319999999999</v>
      </c>
      <c r="AY176" s="48"/>
    </row>
    <row r="177" spans="1:51" customFormat="1" ht="14.25" customHeight="1" x14ac:dyDescent="0.45">
      <c r="A177" s="26">
        <f t="shared" ref="A177:I177" si="188">A176</f>
        <v>2024</v>
      </c>
      <c r="B177" s="27">
        <f t="shared" si="188"/>
        <v>12</v>
      </c>
      <c r="C177" s="27">
        <f t="shared" si="188"/>
        <v>2</v>
      </c>
      <c r="D177" s="28">
        <f t="shared" si="188"/>
        <v>0.73263888888888884</v>
      </c>
      <c r="E177" s="29">
        <f t="shared" si="188"/>
        <v>28</v>
      </c>
      <c r="F177" s="49">
        <f t="shared" si="188"/>
        <v>13.132400000000001</v>
      </c>
      <c r="G177" s="31">
        <f t="shared" si="188"/>
        <v>100.39832</v>
      </c>
      <c r="H177" s="32">
        <f t="shared" si="188"/>
        <v>18.7</v>
      </c>
      <c r="I177" s="27">
        <f t="shared" si="188"/>
        <v>3</v>
      </c>
      <c r="J177" s="33" t="s">
        <v>52</v>
      </c>
      <c r="K177" s="32">
        <v>17</v>
      </c>
      <c r="L177" s="34"/>
      <c r="M177" s="35"/>
      <c r="N177" s="50">
        <f t="shared" si="187"/>
        <v>4</v>
      </c>
      <c r="O177" s="37">
        <v>28.6</v>
      </c>
      <c r="P177" s="38">
        <v>28.741</v>
      </c>
      <c r="Q177" s="51">
        <v>28.75</v>
      </c>
      <c r="R177" s="38">
        <v>7.82</v>
      </c>
      <c r="S177" s="38">
        <v>8.16</v>
      </c>
      <c r="T177" s="37">
        <v>29.2</v>
      </c>
      <c r="U177" s="38">
        <v>31.984000000000002</v>
      </c>
      <c r="V177" s="38">
        <v>31.86</v>
      </c>
      <c r="W177" s="38">
        <v>6.61</v>
      </c>
      <c r="X177" s="38">
        <v>6.9589999999999996</v>
      </c>
      <c r="Y177" s="38">
        <v>6.5</v>
      </c>
      <c r="Z177" s="38">
        <f t="shared" si="165"/>
        <v>6.400063547000773</v>
      </c>
      <c r="AA177" s="41">
        <v>5.8</v>
      </c>
      <c r="AB177" s="53"/>
      <c r="AC177" s="42">
        <v>1.37</v>
      </c>
      <c r="AD177" s="43">
        <v>2.16</v>
      </c>
      <c r="AF177" s="115"/>
      <c r="AG177" s="143"/>
      <c r="AH177" s="117"/>
      <c r="AI177" s="116"/>
      <c r="AJ177" s="150"/>
      <c r="AK177" s="150"/>
      <c r="AL177" s="150"/>
      <c r="AM177" s="150"/>
      <c r="AN177" s="114"/>
      <c r="AO177" s="114"/>
      <c r="AP177" s="104"/>
      <c r="AQ177" s="65">
        <v>0.23960000000000001</v>
      </c>
      <c r="AR177" s="54">
        <v>7.4362000000000004</v>
      </c>
      <c r="AS177" s="54">
        <v>0.34699999999999998</v>
      </c>
      <c r="AT177" s="54">
        <v>3.5063</v>
      </c>
      <c r="AU177" s="27">
        <v>1.1807000000000001</v>
      </c>
      <c r="AV177" s="43">
        <v>120.49850000000001</v>
      </c>
      <c r="AY177" s="48"/>
    </row>
    <row r="178" spans="1:51" customFormat="1" ht="14.25" customHeight="1" x14ac:dyDescent="0.45">
      <c r="A178" s="26">
        <v>2024</v>
      </c>
      <c r="B178" s="27">
        <v>12</v>
      </c>
      <c r="C178" s="27">
        <v>3</v>
      </c>
      <c r="D178" s="67">
        <v>0.2951388888888889</v>
      </c>
      <c r="E178" s="29">
        <v>45</v>
      </c>
      <c r="F178" s="68">
        <v>13.13189</v>
      </c>
      <c r="G178" s="69">
        <v>100.66795999999999</v>
      </c>
      <c r="H178" s="32">
        <v>20.3</v>
      </c>
      <c r="I178" s="27">
        <v>3</v>
      </c>
      <c r="J178" s="33" t="s">
        <v>47</v>
      </c>
      <c r="K178" s="32">
        <v>1</v>
      </c>
      <c r="L178" s="34">
        <v>7</v>
      </c>
      <c r="M178" s="35" t="s">
        <v>71</v>
      </c>
      <c r="N178" s="36">
        <v>3.4</v>
      </c>
      <c r="O178" s="37">
        <v>28.6</v>
      </c>
      <c r="P178" s="38">
        <v>28.984000000000002</v>
      </c>
      <c r="Q178" s="51">
        <v>29</v>
      </c>
      <c r="R178" s="38">
        <v>7.51</v>
      </c>
      <c r="S178" s="38">
        <v>8.1300000000000008</v>
      </c>
      <c r="T178" s="37">
        <v>29</v>
      </c>
      <c r="U178" s="38">
        <v>31.710999999999999</v>
      </c>
      <c r="V178" s="38">
        <v>31.68</v>
      </c>
      <c r="W178" s="38">
        <v>6.68</v>
      </c>
      <c r="X178" s="38">
        <v>6.7850000000000001</v>
      </c>
      <c r="Y178" s="38">
        <v>6.44</v>
      </c>
      <c r="Z178" s="38">
        <f t="shared" si="165"/>
        <v>6.352883845232987</v>
      </c>
      <c r="AA178" s="41">
        <v>6.35</v>
      </c>
      <c r="AB178" s="53">
        <v>0.80579999999999996</v>
      </c>
      <c r="AC178" s="42">
        <v>0.67</v>
      </c>
      <c r="AD178" s="43">
        <v>0.98</v>
      </c>
      <c r="AE178" s="44" t="s">
        <v>49</v>
      </c>
      <c r="AF178" s="115"/>
      <c r="AG178" s="143"/>
      <c r="AH178" s="117"/>
      <c r="AI178" s="116"/>
      <c r="AJ178" s="150"/>
      <c r="AK178" s="150"/>
      <c r="AL178" s="150"/>
      <c r="AM178" s="150"/>
      <c r="AN178" s="114"/>
      <c r="AO178" s="114"/>
      <c r="AP178" s="104"/>
      <c r="AQ178" s="65">
        <v>0.43280000000000002</v>
      </c>
      <c r="AR178" s="54">
        <v>6.1215999999999999</v>
      </c>
      <c r="AS178" s="54">
        <v>0.16389999999999999</v>
      </c>
      <c r="AT178" s="54">
        <v>2.7871000000000001</v>
      </c>
      <c r="AU178" s="27">
        <v>2.1789999999999998</v>
      </c>
      <c r="AV178" s="43">
        <v>217.63589999999999</v>
      </c>
      <c r="AY178" s="48" t="s">
        <v>96</v>
      </c>
    </row>
    <row r="179" spans="1:51" customFormat="1" ht="14.25" customHeight="1" x14ac:dyDescent="0.45">
      <c r="A179" s="26">
        <f t="shared" ref="A179:I179" si="189">A178</f>
        <v>2024</v>
      </c>
      <c r="B179" s="27">
        <f t="shared" si="189"/>
        <v>12</v>
      </c>
      <c r="C179" s="27">
        <f t="shared" si="189"/>
        <v>3</v>
      </c>
      <c r="D179" s="28">
        <f t="shared" si="189"/>
        <v>0.2951388888888889</v>
      </c>
      <c r="E179" s="29">
        <f t="shared" si="189"/>
        <v>45</v>
      </c>
      <c r="F179" s="49">
        <f t="shared" si="189"/>
        <v>13.13189</v>
      </c>
      <c r="G179" s="31">
        <f t="shared" si="189"/>
        <v>100.66795999999999</v>
      </c>
      <c r="H179" s="32">
        <f t="shared" si="189"/>
        <v>20.3</v>
      </c>
      <c r="I179" s="27">
        <f t="shared" si="189"/>
        <v>3</v>
      </c>
      <c r="J179" s="33" t="s">
        <v>51</v>
      </c>
      <c r="K179" s="32">
        <v>10</v>
      </c>
      <c r="L179" s="34"/>
      <c r="M179" s="35"/>
      <c r="N179" s="50">
        <f t="shared" ref="N179:N180" si="190">N178</f>
        <v>3.4</v>
      </c>
      <c r="O179" s="37">
        <v>28.7</v>
      </c>
      <c r="P179" s="38">
        <v>29.004000000000001</v>
      </c>
      <c r="Q179" s="51">
        <v>29.01</v>
      </c>
      <c r="R179" s="38">
        <v>7.54</v>
      </c>
      <c r="S179" s="38">
        <v>8.1300000000000008</v>
      </c>
      <c r="T179" s="37">
        <v>29</v>
      </c>
      <c r="U179" s="38">
        <v>31.800999999999998</v>
      </c>
      <c r="V179" s="38">
        <v>31.68</v>
      </c>
      <c r="W179" s="38">
        <v>6.58</v>
      </c>
      <c r="X179" s="38">
        <v>6.7720000000000002</v>
      </c>
      <c r="Y179" s="38">
        <v>6.43</v>
      </c>
      <c r="Z179" s="38">
        <f t="shared" si="165"/>
        <v>6.3450205616050219</v>
      </c>
      <c r="AA179" s="41">
        <v>8.1999999999999993</v>
      </c>
      <c r="AB179" s="53"/>
      <c r="AC179" s="42">
        <v>1</v>
      </c>
      <c r="AD179" s="43">
        <v>0.99</v>
      </c>
      <c r="AF179" s="115"/>
      <c r="AG179" s="143"/>
      <c r="AH179" s="117"/>
      <c r="AI179" s="116"/>
      <c r="AJ179" s="150"/>
      <c r="AK179" s="150"/>
      <c r="AL179" s="150"/>
      <c r="AM179" s="150"/>
      <c r="AN179" s="114"/>
      <c r="AO179" s="114"/>
      <c r="AP179" s="104"/>
      <c r="AQ179" s="65">
        <v>0.23960000000000001</v>
      </c>
      <c r="AR179" s="54">
        <v>7.3486000000000002</v>
      </c>
      <c r="AS179" s="54">
        <v>0.2097</v>
      </c>
      <c r="AT179" s="54">
        <v>2.0678000000000001</v>
      </c>
      <c r="AU179" s="27">
        <v>1.0637000000000001</v>
      </c>
      <c r="AV179" s="43">
        <v>301.18830000000003</v>
      </c>
      <c r="AY179" s="48"/>
    </row>
    <row r="180" spans="1:51" customFormat="1" ht="14.25" customHeight="1" x14ac:dyDescent="0.45">
      <c r="A180" s="26">
        <f t="shared" ref="A180:I180" si="191">A179</f>
        <v>2024</v>
      </c>
      <c r="B180" s="27">
        <f t="shared" si="191"/>
        <v>12</v>
      </c>
      <c r="C180" s="27">
        <f t="shared" si="191"/>
        <v>3</v>
      </c>
      <c r="D180" s="28">
        <f t="shared" si="191"/>
        <v>0.2951388888888889</v>
      </c>
      <c r="E180" s="29">
        <f t="shared" si="191"/>
        <v>45</v>
      </c>
      <c r="F180" s="49">
        <f t="shared" si="191"/>
        <v>13.13189</v>
      </c>
      <c r="G180" s="31">
        <f t="shared" si="191"/>
        <v>100.66795999999999</v>
      </c>
      <c r="H180" s="32">
        <f t="shared" si="191"/>
        <v>20.3</v>
      </c>
      <c r="I180" s="27">
        <f t="shared" si="191"/>
        <v>3</v>
      </c>
      <c r="J180" s="33" t="s">
        <v>52</v>
      </c>
      <c r="K180" s="32">
        <v>19</v>
      </c>
      <c r="L180" s="34"/>
      <c r="M180" s="35"/>
      <c r="N180" s="50">
        <f t="shared" si="190"/>
        <v>3.4</v>
      </c>
      <c r="O180" s="37">
        <v>28.3</v>
      </c>
      <c r="P180" s="38">
        <v>29.003</v>
      </c>
      <c r="Q180" s="51">
        <v>29.01</v>
      </c>
      <c r="R180" s="38">
        <v>7.52</v>
      </c>
      <c r="S180" s="38">
        <v>8.1300000000000008</v>
      </c>
      <c r="T180" s="37">
        <v>29.1</v>
      </c>
      <c r="U180" s="38">
        <v>31.872</v>
      </c>
      <c r="V180" s="38">
        <v>31.69</v>
      </c>
      <c r="W180" s="38">
        <v>6.7</v>
      </c>
      <c r="X180" s="38">
        <v>6.73</v>
      </c>
      <c r="Y180" s="38">
        <v>6.42</v>
      </c>
      <c r="Z180" s="38">
        <f t="shared" si="165"/>
        <v>6.3371572779770577</v>
      </c>
      <c r="AA180" s="41">
        <v>8.5</v>
      </c>
      <c r="AB180" s="53"/>
      <c r="AC180" s="42">
        <v>0.83</v>
      </c>
      <c r="AD180" s="43">
        <v>1.19</v>
      </c>
      <c r="AF180" s="115"/>
      <c r="AG180" s="143"/>
      <c r="AH180" s="117"/>
      <c r="AI180" s="116"/>
      <c r="AJ180" s="150"/>
      <c r="AK180" s="150"/>
      <c r="AL180" s="150"/>
      <c r="AM180" s="150"/>
      <c r="AN180" s="114"/>
      <c r="AO180" s="114"/>
      <c r="AP180" s="104"/>
      <c r="AQ180" s="65">
        <v>0.3362</v>
      </c>
      <c r="AR180" s="54">
        <v>5.9462999999999999</v>
      </c>
      <c r="AS180" s="54">
        <v>0.18679999999999999</v>
      </c>
      <c r="AT180" s="54">
        <v>3.5962000000000001</v>
      </c>
      <c r="AU180" s="27">
        <v>1.2139</v>
      </c>
      <c r="AV180" s="43">
        <v>264.37849999999997</v>
      </c>
      <c r="AY180" s="48"/>
    </row>
    <row r="181" spans="1:51" customFormat="1" ht="14.25" customHeight="1" x14ac:dyDescent="0.45">
      <c r="A181" s="26">
        <v>2024</v>
      </c>
      <c r="B181" s="27">
        <v>12</v>
      </c>
      <c r="C181" s="27">
        <v>3</v>
      </c>
      <c r="D181" s="67">
        <v>0.3298611111111111</v>
      </c>
      <c r="E181" s="29" t="s">
        <v>97</v>
      </c>
      <c r="F181" s="68">
        <v>13.13166</v>
      </c>
      <c r="G181" s="69">
        <v>100.60078</v>
      </c>
      <c r="H181" s="32">
        <v>22</v>
      </c>
      <c r="I181" s="27">
        <v>3</v>
      </c>
      <c r="J181" s="33" t="s">
        <v>47</v>
      </c>
      <c r="K181" s="32">
        <v>1</v>
      </c>
      <c r="L181" s="34">
        <v>7</v>
      </c>
      <c r="M181" s="35" t="s">
        <v>71</v>
      </c>
      <c r="N181" s="36">
        <v>3.6</v>
      </c>
      <c r="O181" s="37">
        <v>28.6</v>
      </c>
      <c r="P181" s="38">
        <v>28.893999999999998</v>
      </c>
      <c r="Q181" s="51">
        <v>28.9</v>
      </c>
      <c r="R181" s="38">
        <v>7.76</v>
      </c>
      <c r="S181" s="38">
        <v>8.1</v>
      </c>
      <c r="T181" s="37">
        <v>29</v>
      </c>
      <c r="U181" s="38">
        <v>31.754999999999999</v>
      </c>
      <c r="V181" s="38">
        <v>31.72</v>
      </c>
      <c r="W181" s="38"/>
      <c r="X181" s="38">
        <v>7.01</v>
      </c>
      <c r="Y181" s="38">
        <v>6.47</v>
      </c>
      <c r="Z181" s="38">
        <f t="shared" si="165"/>
        <v>6.3764736961168795</v>
      </c>
      <c r="AA181" s="41"/>
      <c r="AB181" s="53"/>
      <c r="AC181" s="42">
        <v>0.55000000000000004</v>
      </c>
      <c r="AD181" s="43">
        <v>0.87</v>
      </c>
      <c r="AF181" s="115"/>
      <c r="AG181" s="143"/>
      <c r="AH181" s="117"/>
      <c r="AI181" s="116"/>
      <c r="AJ181" s="150"/>
      <c r="AK181" s="150"/>
      <c r="AL181" s="150"/>
      <c r="AM181" s="150"/>
      <c r="AN181" s="114"/>
      <c r="AO181" s="114"/>
      <c r="AP181" s="104"/>
      <c r="AQ181" s="65"/>
      <c r="AU181" s="27"/>
      <c r="AV181" s="43"/>
      <c r="AY181" s="48" t="s">
        <v>98</v>
      </c>
    </row>
    <row r="182" spans="1:51" customFormat="1" ht="14.25" customHeight="1" x14ac:dyDescent="0.45">
      <c r="A182" s="26">
        <f t="shared" ref="A182:I182" si="192">A181</f>
        <v>2024</v>
      </c>
      <c r="B182" s="27">
        <f t="shared" si="192"/>
        <v>12</v>
      </c>
      <c r="C182" s="27">
        <f t="shared" si="192"/>
        <v>3</v>
      </c>
      <c r="D182" s="28">
        <f t="shared" si="192"/>
        <v>0.3298611111111111</v>
      </c>
      <c r="E182" s="29" t="str">
        <f t="shared" si="192"/>
        <v>C33</v>
      </c>
      <c r="F182" s="49">
        <f t="shared" si="192"/>
        <v>13.13166</v>
      </c>
      <c r="G182" s="31">
        <f t="shared" si="192"/>
        <v>100.60078</v>
      </c>
      <c r="H182" s="32">
        <f t="shared" si="192"/>
        <v>22</v>
      </c>
      <c r="I182" s="27">
        <f t="shared" si="192"/>
        <v>3</v>
      </c>
      <c r="J182" s="33" t="s">
        <v>51</v>
      </c>
      <c r="K182" s="32">
        <v>11</v>
      </c>
      <c r="L182" s="34"/>
      <c r="M182" s="35"/>
      <c r="N182" s="50">
        <f t="shared" ref="N182:N183" si="193">N181</f>
        <v>3.6</v>
      </c>
      <c r="O182" s="37">
        <v>28.7</v>
      </c>
      <c r="P182" s="38">
        <v>28.9</v>
      </c>
      <c r="Q182" s="51">
        <v>28.91</v>
      </c>
      <c r="R182" s="38">
        <v>7.74</v>
      </c>
      <c r="S182" s="38">
        <v>8.1300000000000008</v>
      </c>
      <c r="T182" s="37">
        <v>29</v>
      </c>
      <c r="U182" s="38">
        <v>31.853999999999999</v>
      </c>
      <c r="V182" s="38">
        <v>31.73</v>
      </c>
      <c r="W182" s="38"/>
      <c r="X182" s="38">
        <v>6.8959999999999999</v>
      </c>
      <c r="Y182" s="38">
        <v>6.45</v>
      </c>
      <c r="Z182" s="38">
        <f t="shared" si="165"/>
        <v>6.3607471288609512</v>
      </c>
      <c r="AA182" s="41"/>
      <c r="AB182" s="53"/>
      <c r="AC182" s="42">
        <v>0.68</v>
      </c>
      <c r="AD182" s="43">
        <v>0.95</v>
      </c>
      <c r="AF182" s="115"/>
      <c r="AG182" s="143"/>
      <c r="AH182" s="117"/>
      <c r="AI182" s="116"/>
      <c r="AJ182" s="150"/>
      <c r="AK182" s="150"/>
      <c r="AL182" s="150"/>
      <c r="AM182" s="150"/>
      <c r="AN182" s="114"/>
      <c r="AO182" s="114"/>
      <c r="AP182" s="104"/>
      <c r="AQ182" s="65"/>
      <c r="AU182" s="27"/>
      <c r="AV182" s="43"/>
      <c r="AY182" s="48"/>
    </row>
    <row r="183" spans="1:51" customFormat="1" ht="14.25" customHeight="1" x14ac:dyDescent="0.45">
      <c r="A183" s="26">
        <f t="shared" ref="A183:I183" si="194">A182</f>
        <v>2024</v>
      </c>
      <c r="B183" s="27">
        <f t="shared" si="194"/>
        <v>12</v>
      </c>
      <c r="C183" s="27">
        <f t="shared" si="194"/>
        <v>3</v>
      </c>
      <c r="D183" s="28">
        <f t="shared" si="194"/>
        <v>0.3298611111111111</v>
      </c>
      <c r="E183" s="29" t="str">
        <f t="shared" si="194"/>
        <v>C33</v>
      </c>
      <c r="F183" s="49">
        <f t="shared" si="194"/>
        <v>13.13166</v>
      </c>
      <c r="G183" s="31">
        <f t="shared" si="194"/>
        <v>100.60078</v>
      </c>
      <c r="H183" s="32">
        <f t="shared" si="194"/>
        <v>22</v>
      </c>
      <c r="I183" s="27">
        <f t="shared" si="194"/>
        <v>3</v>
      </c>
      <c r="J183" s="33" t="s">
        <v>52</v>
      </c>
      <c r="K183" s="32">
        <v>21</v>
      </c>
      <c r="L183" s="34"/>
      <c r="M183" s="35"/>
      <c r="N183" s="50">
        <f t="shared" si="193"/>
        <v>3.6</v>
      </c>
      <c r="O183" s="37">
        <v>28.7</v>
      </c>
      <c r="P183" s="38">
        <v>28.905999999999999</v>
      </c>
      <c r="Q183" s="51">
        <v>28.9</v>
      </c>
      <c r="R183" s="38">
        <v>7.68</v>
      </c>
      <c r="S183" s="38">
        <v>8.1300000000000008</v>
      </c>
      <c r="T183" s="37">
        <v>28.7</v>
      </c>
      <c r="U183" s="38">
        <v>31.907</v>
      </c>
      <c r="V183" s="38">
        <v>31.73</v>
      </c>
      <c r="W183" s="38"/>
      <c r="X183" s="38">
        <v>6.8360000000000003</v>
      </c>
      <c r="Y183" s="38">
        <v>6.44</v>
      </c>
      <c r="Z183" s="38">
        <f t="shared" si="165"/>
        <v>6.352883845232987</v>
      </c>
      <c r="AA183" s="41"/>
      <c r="AB183" s="53"/>
      <c r="AC183" s="42">
        <v>0.68</v>
      </c>
      <c r="AD183" s="43">
        <v>1.04</v>
      </c>
      <c r="AF183" s="115"/>
      <c r="AG183" s="143"/>
      <c r="AH183" s="117"/>
      <c r="AI183" s="116"/>
      <c r="AJ183" s="150"/>
      <c r="AK183" s="150"/>
      <c r="AL183" s="150"/>
      <c r="AM183" s="150"/>
      <c r="AN183" s="114"/>
      <c r="AO183" s="114"/>
      <c r="AP183" s="104"/>
      <c r="AQ183" s="65"/>
      <c r="AU183" s="27"/>
      <c r="AV183" s="43"/>
      <c r="AY183" s="48"/>
    </row>
    <row r="184" spans="1:51" customFormat="1" ht="14.25" customHeight="1" x14ac:dyDescent="0.45">
      <c r="A184" s="26">
        <v>2024</v>
      </c>
      <c r="B184" s="27">
        <v>12</v>
      </c>
      <c r="C184" s="27">
        <v>3</v>
      </c>
      <c r="D184" s="67">
        <v>0.35416666666666669</v>
      </c>
      <c r="E184" s="29">
        <v>31</v>
      </c>
      <c r="F184" s="68">
        <v>13.131500000000001</v>
      </c>
      <c r="G184" s="69">
        <v>100.53534000000001</v>
      </c>
      <c r="H184" s="32">
        <v>21.5</v>
      </c>
      <c r="I184" s="27">
        <v>3</v>
      </c>
      <c r="J184" s="33" t="s">
        <v>47</v>
      </c>
      <c r="K184" s="32">
        <v>1</v>
      </c>
      <c r="L184" s="34">
        <v>7</v>
      </c>
      <c r="M184" s="35" t="s">
        <v>71</v>
      </c>
      <c r="N184" s="36">
        <v>2.6</v>
      </c>
      <c r="O184" s="37">
        <v>28.5</v>
      </c>
      <c r="P184" s="38">
        <v>28.751000000000001</v>
      </c>
      <c r="Q184" s="51">
        <v>28.76</v>
      </c>
      <c r="R184" s="38">
        <v>7.79</v>
      </c>
      <c r="S184" s="38">
        <v>8.14</v>
      </c>
      <c r="T184" s="37">
        <v>29</v>
      </c>
      <c r="U184" s="38">
        <v>31.81</v>
      </c>
      <c r="V184" s="38">
        <v>31.8</v>
      </c>
      <c r="W184" s="38">
        <v>5.83</v>
      </c>
      <c r="X184" s="38">
        <v>6.9420000000000002</v>
      </c>
      <c r="Y184" s="38">
        <v>6.51</v>
      </c>
      <c r="Z184" s="38">
        <f t="shared" si="165"/>
        <v>6.4079268306287371</v>
      </c>
      <c r="AA184" s="41">
        <v>6.25</v>
      </c>
      <c r="AB184" s="53">
        <v>0.81630000000000003</v>
      </c>
      <c r="AC184" s="42">
        <v>0.44</v>
      </c>
      <c r="AD184" s="43">
        <v>0.85</v>
      </c>
      <c r="AE184" s="44" t="s">
        <v>49</v>
      </c>
      <c r="AF184" s="115"/>
      <c r="AG184" s="143"/>
      <c r="AH184" s="117"/>
      <c r="AI184" s="116"/>
      <c r="AJ184" s="150"/>
      <c r="AK184" s="150"/>
      <c r="AL184" s="150"/>
      <c r="AM184" s="150"/>
      <c r="AN184" s="114"/>
      <c r="AO184" s="114"/>
      <c r="AP184" s="104"/>
      <c r="AQ184" s="65">
        <v>0.36030000000000001</v>
      </c>
      <c r="AR184" s="54">
        <v>5.0260999999999996</v>
      </c>
      <c r="AS184" s="54">
        <v>0.14099999999999999</v>
      </c>
      <c r="AT184" s="54">
        <v>2.6972</v>
      </c>
      <c r="AU184" s="27">
        <v>1.0271999999999999</v>
      </c>
      <c r="AV184" s="43">
        <v>276.30790000000002</v>
      </c>
      <c r="AY184" s="48" t="s">
        <v>98</v>
      </c>
    </row>
    <row r="185" spans="1:51" customFormat="1" ht="14.25" customHeight="1" x14ac:dyDescent="0.45">
      <c r="A185" s="26">
        <f t="shared" ref="A185:I185" si="195">A184</f>
        <v>2024</v>
      </c>
      <c r="B185" s="27">
        <f t="shared" si="195"/>
        <v>12</v>
      </c>
      <c r="C185" s="27">
        <f t="shared" si="195"/>
        <v>3</v>
      </c>
      <c r="D185" s="28">
        <f t="shared" si="195"/>
        <v>0.35416666666666669</v>
      </c>
      <c r="E185" s="29">
        <f t="shared" si="195"/>
        <v>31</v>
      </c>
      <c r="F185" s="49">
        <f t="shared" si="195"/>
        <v>13.131500000000001</v>
      </c>
      <c r="G185" s="31">
        <f t="shared" si="195"/>
        <v>100.53534000000001</v>
      </c>
      <c r="H185" s="32">
        <f t="shared" si="195"/>
        <v>21.5</v>
      </c>
      <c r="I185" s="27">
        <f t="shared" si="195"/>
        <v>3</v>
      </c>
      <c r="J185" s="33" t="s">
        <v>51</v>
      </c>
      <c r="K185" s="32">
        <v>10.5</v>
      </c>
      <c r="L185" s="34"/>
      <c r="M185" s="35"/>
      <c r="N185" s="50">
        <f t="shared" ref="N185:N186" si="196">N184</f>
        <v>2.6</v>
      </c>
      <c r="O185" s="37">
        <v>28.5</v>
      </c>
      <c r="P185" s="38">
        <v>28.759</v>
      </c>
      <c r="Q185" s="51">
        <v>28.76</v>
      </c>
      <c r="R185" s="38">
        <v>7.8</v>
      </c>
      <c r="S185" s="38">
        <v>8.14</v>
      </c>
      <c r="T185" s="37">
        <v>29</v>
      </c>
      <c r="U185" s="38">
        <v>31.898</v>
      </c>
      <c r="V185" s="38">
        <v>31.8</v>
      </c>
      <c r="W185" s="38">
        <v>6.67</v>
      </c>
      <c r="X185" s="38">
        <v>6.891</v>
      </c>
      <c r="Y185" s="38">
        <v>6.51</v>
      </c>
      <c r="Z185" s="38">
        <f t="shared" si="165"/>
        <v>6.4079268306287371</v>
      </c>
      <c r="AA185" s="41">
        <v>9.15</v>
      </c>
      <c r="AB185" s="53"/>
      <c r="AC185" s="42">
        <v>0.69</v>
      </c>
      <c r="AD185" s="43">
        <v>1.02</v>
      </c>
      <c r="AF185" s="115"/>
      <c r="AG185" s="143"/>
      <c r="AH185" s="117"/>
      <c r="AI185" s="113"/>
      <c r="AJ185" s="149"/>
      <c r="AK185" s="150"/>
      <c r="AL185" s="150"/>
      <c r="AM185" s="150"/>
      <c r="AN185" s="114"/>
      <c r="AO185" s="114"/>
      <c r="AP185" s="104"/>
      <c r="AQ185" s="65">
        <v>0.23960000000000001</v>
      </c>
      <c r="AR185" s="54">
        <v>4.1059000000000001</v>
      </c>
      <c r="AS185" s="54">
        <v>0.16389999999999999</v>
      </c>
      <c r="AT185" s="54">
        <v>3.5962000000000001</v>
      </c>
      <c r="AU185" s="27">
        <v>1.0043</v>
      </c>
      <c r="AV185" s="43">
        <v>129.4342</v>
      </c>
      <c r="AY185" s="48"/>
    </row>
    <row r="186" spans="1:51" customFormat="1" ht="14.25" customHeight="1" x14ac:dyDescent="0.45">
      <c r="A186" s="26">
        <f t="shared" ref="A186:I186" si="197">A185</f>
        <v>2024</v>
      </c>
      <c r="B186" s="27">
        <f t="shared" si="197"/>
        <v>12</v>
      </c>
      <c r="C186" s="27">
        <f t="shared" si="197"/>
        <v>3</v>
      </c>
      <c r="D186" s="28">
        <f t="shared" si="197"/>
        <v>0.35416666666666669</v>
      </c>
      <c r="E186" s="29">
        <f t="shared" si="197"/>
        <v>31</v>
      </c>
      <c r="F186" s="49">
        <f t="shared" si="197"/>
        <v>13.131500000000001</v>
      </c>
      <c r="G186" s="31">
        <f t="shared" si="197"/>
        <v>100.53534000000001</v>
      </c>
      <c r="H186" s="32">
        <f t="shared" si="197"/>
        <v>21.5</v>
      </c>
      <c r="I186" s="27">
        <f t="shared" si="197"/>
        <v>3</v>
      </c>
      <c r="J186" s="33" t="s">
        <v>52</v>
      </c>
      <c r="K186" s="32">
        <v>20</v>
      </c>
      <c r="L186" s="34"/>
      <c r="M186" s="35"/>
      <c r="N186" s="50">
        <f t="shared" si="196"/>
        <v>2.6</v>
      </c>
      <c r="O186" s="37">
        <v>28.3</v>
      </c>
      <c r="P186" s="38">
        <v>28.763999999999999</v>
      </c>
      <c r="Q186" s="51">
        <v>28.77</v>
      </c>
      <c r="R186" s="38">
        <v>7.82</v>
      </c>
      <c r="S186" s="38">
        <v>8.14</v>
      </c>
      <c r="T186" s="37">
        <v>29.1</v>
      </c>
      <c r="U186" s="38">
        <v>31.96</v>
      </c>
      <c r="V186" s="38">
        <v>31.8</v>
      </c>
      <c r="W186" s="38">
        <v>6.54</v>
      </c>
      <c r="X186" s="38">
        <v>6.8529999999999998</v>
      </c>
      <c r="Y186" s="38">
        <v>6.5</v>
      </c>
      <c r="Z186" s="38">
        <f t="shared" si="165"/>
        <v>6.400063547000773</v>
      </c>
      <c r="AA186" s="41">
        <v>11.15</v>
      </c>
      <c r="AB186" s="53"/>
      <c r="AC186" s="42">
        <v>0.61</v>
      </c>
      <c r="AD186" s="43">
        <v>0.86</v>
      </c>
      <c r="AF186" s="115"/>
      <c r="AG186" s="143"/>
      <c r="AH186" s="117"/>
      <c r="AI186" s="113"/>
      <c r="AJ186" s="147"/>
      <c r="AK186" s="150"/>
      <c r="AL186" s="150"/>
      <c r="AM186" s="150"/>
      <c r="AN186" s="114"/>
      <c r="AO186" s="114"/>
      <c r="AP186" s="104"/>
      <c r="AQ186" s="65">
        <v>0.28789999999999999</v>
      </c>
      <c r="AR186" s="54">
        <v>3.9306999999999999</v>
      </c>
      <c r="AS186" s="54">
        <v>0.16389999999999999</v>
      </c>
      <c r="AT186" s="54">
        <v>2.0678000000000001</v>
      </c>
      <c r="AU186" s="27">
        <v>1.2290000000000001</v>
      </c>
      <c r="AV186" s="43">
        <v>114.6994</v>
      </c>
      <c r="AY186" s="48"/>
    </row>
    <row r="187" spans="1:51" customFormat="1" ht="14.25" customHeight="1" x14ac:dyDescent="0.45">
      <c r="A187" s="26">
        <v>2024</v>
      </c>
      <c r="B187" s="27">
        <v>12</v>
      </c>
      <c r="C187" s="27">
        <v>3</v>
      </c>
      <c r="D187" s="67">
        <v>0.40277777777777779</v>
      </c>
      <c r="E187" s="29">
        <v>32</v>
      </c>
      <c r="F187" s="68">
        <v>13.22833</v>
      </c>
      <c r="G187" s="69">
        <v>100.53328999999999</v>
      </c>
      <c r="H187" s="32">
        <v>18.899999999999999</v>
      </c>
      <c r="I187" s="27">
        <v>3</v>
      </c>
      <c r="J187" s="33" t="s">
        <v>47</v>
      </c>
      <c r="K187" s="32">
        <v>1</v>
      </c>
      <c r="L187" s="34">
        <v>7</v>
      </c>
      <c r="M187" s="35" t="s">
        <v>71</v>
      </c>
      <c r="N187" s="36">
        <v>2.8</v>
      </c>
      <c r="O187" s="37">
        <v>28.6</v>
      </c>
      <c r="P187" s="38">
        <v>28.77</v>
      </c>
      <c r="Q187" s="51">
        <v>28.77</v>
      </c>
      <c r="R187" s="38">
        <v>7.82</v>
      </c>
      <c r="S187" s="38">
        <v>8.1300000000000008</v>
      </c>
      <c r="T187" s="37">
        <v>29.1</v>
      </c>
      <c r="U187" s="38">
        <v>31.824999999999999</v>
      </c>
      <c r="V187" s="38">
        <v>31.79</v>
      </c>
      <c r="W187" s="38"/>
      <c r="X187" s="38">
        <v>6.9329999999999998</v>
      </c>
      <c r="Y187" s="38">
        <v>6.45</v>
      </c>
      <c r="Z187" s="38">
        <f t="shared" si="165"/>
        <v>6.3607471288609512</v>
      </c>
      <c r="AA187" s="41"/>
      <c r="AB187" s="53"/>
      <c r="AC187" s="42">
        <v>0.53</v>
      </c>
      <c r="AD187" s="43">
        <v>0.67</v>
      </c>
      <c r="AF187" s="115"/>
      <c r="AG187" s="143"/>
      <c r="AH187" s="117"/>
      <c r="AI187" s="113"/>
      <c r="AJ187" s="147"/>
      <c r="AK187" s="150"/>
      <c r="AL187" s="150"/>
      <c r="AM187" s="150"/>
      <c r="AN187" s="114"/>
      <c r="AO187" s="114"/>
      <c r="AP187" s="104"/>
      <c r="AQ187" s="65"/>
      <c r="AU187" s="27"/>
      <c r="AV187" s="43"/>
      <c r="AY187" s="48" t="s">
        <v>53</v>
      </c>
    </row>
    <row r="188" spans="1:51" customFormat="1" ht="14.25" customHeight="1" x14ac:dyDescent="0.45">
      <c r="A188" s="26">
        <f t="shared" ref="A188:I188" si="198">A187</f>
        <v>2024</v>
      </c>
      <c r="B188" s="27">
        <f t="shared" si="198"/>
        <v>12</v>
      </c>
      <c r="C188" s="27">
        <f t="shared" si="198"/>
        <v>3</v>
      </c>
      <c r="D188" s="28">
        <f t="shared" si="198"/>
        <v>0.40277777777777779</v>
      </c>
      <c r="E188" s="29">
        <f t="shared" si="198"/>
        <v>32</v>
      </c>
      <c r="F188" s="49">
        <f t="shared" si="198"/>
        <v>13.22833</v>
      </c>
      <c r="G188" s="31">
        <f t="shared" si="198"/>
        <v>100.53328999999999</v>
      </c>
      <c r="H188" s="32">
        <f t="shared" si="198"/>
        <v>18.899999999999999</v>
      </c>
      <c r="I188" s="27">
        <f t="shared" si="198"/>
        <v>3</v>
      </c>
      <c r="J188" s="33" t="s">
        <v>51</v>
      </c>
      <c r="K188" s="32">
        <v>9</v>
      </c>
      <c r="L188" s="34"/>
      <c r="M188" s="35"/>
      <c r="N188" s="50">
        <f t="shared" ref="N188:N189" si="199">N187</f>
        <v>2.8</v>
      </c>
      <c r="O188" s="37">
        <v>28.6</v>
      </c>
      <c r="P188" s="38">
        <v>28.756</v>
      </c>
      <c r="Q188" s="51">
        <v>28.76</v>
      </c>
      <c r="R188" s="38">
        <v>7.84</v>
      </c>
      <c r="S188" s="38">
        <v>8.14</v>
      </c>
      <c r="T188" s="37">
        <v>29.1</v>
      </c>
      <c r="U188" s="38">
        <v>31.896000000000001</v>
      </c>
      <c r="V188" s="38">
        <v>31.79</v>
      </c>
      <c r="W188" s="38"/>
      <c r="X188" s="38">
        <v>6.8390000000000004</v>
      </c>
      <c r="Y188" s="38">
        <v>6.43</v>
      </c>
      <c r="Z188" s="38">
        <f t="shared" si="165"/>
        <v>6.3450205616050219</v>
      </c>
      <c r="AA188" s="41"/>
      <c r="AB188" s="53"/>
      <c r="AC188" s="42">
        <v>0.97</v>
      </c>
      <c r="AD188" s="43">
        <v>1.02</v>
      </c>
      <c r="AF188" s="115"/>
      <c r="AG188" s="143"/>
      <c r="AH188" s="117"/>
      <c r="AI188" s="113"/>
      <c r="AJ188" s="147"/>
      <c r="AK188" s="150"/>
      <c r="AL188" s="150"/>
      <c r="AM188" s="150"/>
      <c r="AN188" s="114"/>
      <c r="AO188" s="114"/>
      <c r="AP188" s="104"/>
      <c r="AQ188" s="65"/>
      <c r="AU188" s="27"/>
      <c r="AV188" s="43"/>
      <c r="AY188" s="48"/>
    </row>
    <row r="189" spans="1:51" customFormat="1" ht="14.25" customHeight="1" x14ac:dyDescent="0.45">
      <c r="A189" s="26">
        <f t="shared" ref="A189:I189" si="200">A188</f>
        <v>2024</v>
      </c>
      <c r="B189" s="27">
        <f t="shared" si="200"/>
        <v>12</v>
      </c>
      <c r="C189" s="27">
        <f t="shared" si="200"/>
        <v>3</v>
      </c>
      <c r="D189" s="28">
        <f t="shared" si="200"/>
        <v>0.40277777777777779</v>
      </c>
      <c r="E189" s="29">
        <f t="shared" si="200"/>
        <v>32</v>
      </c>
      <c r="F189" s="49">
        <f t="shared" si="200"/>
        <v>13.22833</v>
      </c>
      <c r="G189" s="31">
        <f t="shared" si="200"/>
        <v>100.53328999999999</v>
      </c>
      <c r="H189" s="32">
        <f t="shared" si="200"/>
        <v>18.899999999999999</v>
      </c>
      <c r="I189" s="27">
        <f t="shared" si="200"/>
        <v>3</v>
      </c>
      <c r="J189" s="33" t="s">
        <v>52</v>
      </c>
      <c r="K189" s="32">
        <v>17</v>
      </c>
      <c r="L189" s="34"/>
      <c r="M189" s="35"/>
      <c r="N189" s="50">
        <f t="shared" si="199"/>
        <v>2.8</v>
      </c>
      <c r="O189" s="37">
        <v>28.7</v>
      </c>
      <c r="P189" s="38">
        <v>28.747</v>
      </c>
      <c r="Q189" s="51">
        <v>28.75</v>
      </c>
      <c r="R189" s="38">
        <v>7.88</v>
      </c>
      <c r="S189" s="38">
        <v>8.14</v>
      </c>
      <c r="T189" s="37">
        <v>29.1</v>
      </c>
      <c r="U189" s="38">
        <v>31.966000000000001</v>
      </c>
      <c r="V189" s="38">
        <v>31.79</v>
      </c>
      <c r="W189" s="38"/>
      <c r="X189" s="38">
        <v>6.7480000000000002</v>
      </c>
      <c r="Y189" s="38">
        <v>6.4</v>
      </c>
      <c r="Z189" s="38">
        <f t="shared" si="165"/>
        <v>6.3214307107211294</v>
      </c>
      <c r="AA189" s="41"/>
      <c r="AB189" s="53"/>
      <c r="AC189" s="42">
        <v>0.92</v>
      </c>
      <c r="AD189" s="43">
        <v>1.03</v>
      </c>
      <c r="AF189" s="115"/>
      <c r="AG189" s="143"/>
      <c r="AH189" s="117"/>
      <c r="AI189" s="113"/>
      <c r="AJ189" s="147"/>
      <c r="AK189" s="150"/>
      <c r="AL189" s="150"/>
      <c r="AM189" s="150"/>
      <c r="AN189" s="114"/>
      <c r="AO189" s="114"/>
      <c r="AP189" s="104"/>
      <c r="AQ189" s="65"/>
      <c r="AU189" s="27"/>
      <c r="AV189" s="43"/>
      <c r="AY189" s="48"/>
    </row>
    <row r="190" spans="1:51" customFormat="1" ht="14.25" customHeight="1" x14ac:dyDescent="0.45">
      <c r="A190" s="26">
        <v>2024</v>
      </c>
      <c r="B190" s="27">
        <v>12</v>
      </c>
      <c r="C190" s="27">
        <v>3</v>
      </c>
      <c r="D190" s="67">
        <v>0.42291666666666666</v>
      </c>
      <c r="E190" s="29">
        <v>33</v>
      </c>
      <c r="F190" s="68">
        <v>13.277520000000001</v>
      </c>
      <c r="G190" s="69">
        <v>100.53395</v>
      </c>
      <c r="H190" s="32">
        <v>17.100000000000001</v>
      </c>
      <c r="I190" s="27">
        <v>3</v>
      </c>
      <c r="J190" s="33" t="s">
        <v>47</v>
      </c>
      <c r="K190" s="32">
        <v>1</v>
      </c>
      <c r="L190" s="34">
        <v>7</v>
      </c>
      <c r="M190" s="35" t="s">
        <v>71</v>
      </c>
      <c r="N190" s="36">
        <v>3.5</v>
      </c>
      <c r="O190" s="37">
        <v>28.7</v>
      </c>
      <c r="P190" s="38">
        <v>28.783999999999999</v>
      </c>
      <c r="Q190" s="51">
        <v>28.8</v>
      </c>
      <c r="R190" s="38">
        <v>7.82</v>
      </c>
      <c r="S190" s="38">
        <v>8.14</v>
      </c>
      <c r="T190" s="37">
        <v>29</v>
      </c>
      <c r="U190" s="38">
        <v>31.783999999999999</v>
      </c>
      <c r="V190" s="38">
        <v>31.76</v>
      </c>
      <c r="W190" s="38"/>
      <c r="X190" s="38">
        <v>6.8920000000000003</v>
      </c>
      <c r="Y190" s="38">
        <v>6.43</v>
      </c>
      <c r="Z190" s="38">
        <f t="shared" si="165"/>
        <v>6.3450205616050219</v>
      </c>
      <c r="AA190" s="41"/>
      <c r="AB190" s="53">
        <v>1.0496000000000001</v>
      </c>
      <c r="AC190" s="42">
        <v>0.69</v>
      </c>
      <c r="AD190" s="43">
        <v>0.56000000000000005</v>
      </c>
      <c r="AE190" s="44"/>
      <c r="AF190" s="120"/>
      <c r="AG190" s="143"/>
      <c r="AH190" s="117"/>
      <c r="AI190" s="113"/>
      <c r="AJ190" s="147"/>
      <c r="AK190" s="150"/>
      <c r="AL190" s="150"/>
      <c r="AM190" s="150"/>
      <c r="AN190" s="114"/>
      <c r="AO190" s="114"/>
      <c r="AP190" s="104"/>
      <c r="AQ190" s="65">
        <v>9.4600000000000004E-2</v>
      </c>
      <c r="AR190" s="54">
        <v>7.2609000000000004</v>
      </c>
      <c r="AS190" s="54">
        <v>0.2326</v>
      </c>
      <c r="AT190" s="54">
        <v>4.3155000000000001</v>
      </c>
      <c r="AU190" s="27">
        <v>1.4992000000000001</v>
      </c>
      <c r="AV190" s="43">
        <v>123.7514</v>
      </c>
      <c r="AY190" s="48" t="s">
        <v>99</v>
      </c>
    </row>
    <row r="191" spans="1:51" customFormat="1" ht="14.25" customHeight="1" x14ac:dyDescent="0.45">
      <c r="A191" s="26">
        <f t="shared" ref="A191:I191" si="201">A190</f>
        <v>2024</v>
      </c>
      <c r="B191" s="27">
        <f t="shared" si="201"/>
        <v>12</v>
      </c>
      <c r="C191" s="27">
        <f t="shared" si="201"/>
        <v>3</v>
      </c>
      <c r="D191" s="28">
        <f t="shared" si="201"/>
        <v>0.42291666666666666</v>
      </c>
      <c r="E191" s="29">
        <f t="shared" si="201"/>
        <v>33</v>
      </c>
      <c r="F191" s="49">
        <f t="shared" si="201"/>
        <v>13.277520000000001</v>
      </c>
      <c r="G191" s="31">
        <f t="shared" si="201"/>
        <v>100.53395</v>
      </c>
      <c r="H191" s="32">
        <f t="shared" si="201"/>
        <v>17.100000000000001</v>
      </c>
      <c r="I191" s="27">
        <f t="shared" si="201"/>
        <v>3</v>
      </c>
      <c r="J191" s="33" t="s">
        <v>51</v>
      </c>
      <c r="K191" s="32">
        <v>8.5</v>
      </c>
      <c r="L191" s="34"/>
      <c r="M191" s="35"/>
      <c r="N191" s="50">
        <f t="shared" ref="N191:N192" si="202">N190</f>
        <v>3.5</v>
      </c>
      <c r="O191" s="37">
        <v>28.7</v>
      </c>
      <c r="P191" s="38">
        <v>28.757999999999999</v>
      </c>
      <c r="Q191" s="51">
        <v>28.75</v>
      </c>
      <c r="R191" s="38">
        <v>7.85</v>
      </c>
      <c r="S191" s="38">
        <v>8.14</v>
      </c>
      <c r="T191" s="37">
        <v>29.1</v>
      </c>
      <c r="U191" s="38">
        <v>31.852</v>
      </c>
      <c r="V191" s="38">
        <v>31.77</v>
      </c>
      <c r="W191" s="38"/>
      <c r="X191" s="38">
        <v>6.7869999999999999</v>
      </c>
      <c r="Y191" s="38">
        <v>6.4</v>
      </c>
      <c r="Z191" s="38">
        <f t="shared" si="165"/>
        <v>6.3214307107211294</v>
      </c>
      <c r="AA191" s="41"/>
      <c r="AB191" s="53"/>
      <c r="AC191" s="42">
        <v>1.0900000000000001</v>
      </c>
      <c r="AD191" s="43">
        <v>1.01</v>
      </c>
      <c r="AF191" s="115"/>
      <c r="AG191" s="143"/>
      <c r="AH191" s="117"/>
      <c r="AI191" s="113"/>
      <c r="AJ191" s="147"/>
      <c r="AK191" s="150"/>
      <c r="AL191" s="150"/>
      <c r="AM191" s="150"/>
      <c r="AN191" s="114"/>
      <c r="AO191" s="114"/>
      <c r="AP191" s="104"/>
      <c r="AQ191" s="65">
        <v>0.1429</v>
      </c>
      <c r="AR191" s="54">
        <v>7.2609000000000004</v>
      </c>
      <c r="AS191" s="54">
        <v>0.2326</v>
      </c>
      <c r="AT191" s="54">
        <v>4.4054000000000002</v>
      </c>
      <c r="AU191" s="27">
        <v>1.6011</v>
      </c>
      <c r="AV191" s="43">
        <v>128.79220000000001</v>
      </c>
      <c r="AY191" s="48"/>
    </row>
    <row r="192" spans="1:51" customFormat="1" ht="14.25" customHeight="1" x14ac:dyDescent="0.45">
      <c r="A192" s="26">
        <f t="shared" ref="A192:I192" si="203">A191</f>
        <v>2024</v>
      </c>
      <c r="B192" s="27">
        <f t="shared" si="203"/>
        <v>12</v>
      </c>
      <c r="C192" s="27">
        <f t="shared" si="203"/>
        <v>3</v>
      </c>
      <c r="D192" s="28">
        <f t="shared" si="203"/>
        <v>0.42291666666666666</v>
      </c>
      <c r="E192" s="29">
        <f t="shared" si="203"/>
        <v>33</v>
      </c>
      <c r="F192" s="49">
        <f t="shared" si="203"/>
        <v>13.277520000000001</v>
      </c>
      <c r="G192" s="31">
        <f t="shared" si="203"/>
        <v>100.53395</v>
      </c>
      <c r="H192" s="32">
        <f t="shared" si="203"/>
        <v>17.100000000000001</v>
      </c>
      <c r="I192" s="27">
        <f t="shared" si="203"/>
        <v>3</v>
      </c>
      <c r="J192" s="33" t="s">
        <v>52</v>
      </c>
      <c r="K192" s="32">
        <v>16</v>
      </c>
      <c r="L192" s="34"/>
      <c r="M192" s="35"/>
      <c r="N192" s="50">
        <f t="shared" si="202"/>
        <v>3.5</v>
      </c>
      <c r="O192" s="37">
        <v>28.8</v>
      </c>
      <c r="P192" s="38">
        <v>28.748000000000001</v>
      </c>
      <c r="Q192" s="51">
        <v>28.75</v>
      </c>
      <c r="R192" s="38">
        <v>7.88</v>
      </c>
      <c r="S192" s="38">
        <v>8.14</v>
      </c>
      <c r="T192" s="37">
        <v>29.2</v>
      </c>
      <c r="U192" s="38">
        <v>31.905000000000001</v>
      </c>
      <c r="V192" s="38">
        <v>31.77</v>
      </c>
      <c r="W192" s="38"/>
      <c r="X192" s="38">
        <v>6.71</v>
      </c>
      <c r="Y192" s="38">
        <v>6.35</v>
      </c>
      <c r="Z192" s="38">
        <f t="shared" si="165"/>
        <v>6.2821142925813067</v>
      </c>
      <c r="AA192" s="41"/>
      <c r="AB192" s="53"/>
      <c r="AC192" s="42">
        <v>0.92</v>
      </c>
      <c r="AD192" s="43">
        <v>1.54</v>
      </c>
      <c r="AF192" s="115"/>
      <c r="AG192" s="143"/>
      <c r="AH192" s="117"/>
      <c r="AI192" s="113"/>
      <c r="AJ192" s="147"/>
      <c r="AK192" s="150"/>
      <c r="AL192" s="150"/>
      <c r="AM192" s="150"/>
      <c r="AN192" s="114"/>
      <c r="AO192" s="114"/>
      <c r="AP192" s="104"/>
      <c r="AQ192" s="65">
        <v>0.1429</v>
      </c>
      <c r="AR192" s="54">
        <v>7.7866999999999997</v>
      </c>
      <c r="AS192" s="54">
        <v>0.2097</v>
      </c>
      <c r="AT192" s="54">
        <v>2.7871000000000001</v>
      </c>
      <c r="AU192" s="27">
        <v>1.1400999999999999</v>
      </c>
      <c r="AV192" s="43">
        <v>197.35679999999999</v>
      </c>
      <c r="AY192" s="48"/>
    </row>
    <row r="193" spans="1:51" s="140" customFormat="1" ht="14.25" customHeight="1" x14ac:dyDescent="0.45">
      <c r="A193" s="122">
        <v>2024</v>
      </c>
      <c r="B193" s="123">
        <v>12</v>
      </c>
      <c r="C193" s="123">
        <v>4</v>
      </c>
      <c r="D193" s="124">
        <v>0.61250000000000004</v>
      </c>
      <c r="E193" s="125">
        <v>1</v>
      </c>
      <c r="F193" s="126">
        <v>13.266299999999999</v>
      </c>
      <c r="G193" s="127">
        <v>99.94135</v>
      </c>
      <c r="H193" s="128">
        <v>1.5</v>
      </c>
      <c r="I193" s="123">
        <v>1</v>
      </c>
      <c r="J193" s="129" t="s">
        <v>47</v>
      </c>
      <c r="K193" s="128">
        <v>1</v>
      </c>
      <c r="L193" s="130"/>
      <c r="M193" s="131"/>
      <c r="N193" s="132">
        <v>0.6</v>
      </c>
      <c r="O193" s="133">
        <v>28</v>
      </c>
      <c r="P193" s="111">
        <v>28.1</v>
      </c>
      <c r="Q193" s="134">
        <v>28.12</v>
      </c>
      <c r="R193" s="111">
        <v>6.66</v>
      </c>
      <c r="S193" s="111">
        <v>7.49</v>
      </c>
      <c r="T193" s="133">
        <v>19.899999999999999</v>
      </c>
      <c r="U193" s="111">
        <v>21.721</v>
      </c>
      <c r="V193" s="111">
        <v>21.73</v>
      </c>
      <c r="W193" s="111">
        <v>4.4400000000000004</v>
      </c>
      <c r="X193" s="111">
        <v>4.0990000000000002</v>
      </c>
      <c r="Y193" s="111">
        <v>4</v>
      </c>
      <c r="Z193" s="111">
        <f t="shared" si="165"/>
        <v>4.4342426400096837</v>
      </c>
      <c r="AA193" s="135">
        <v>20.62</v>
      </c>
      <c r="AB193" s="109">
        <v>5.2819000000000003</v>
      </c>
      <c r="AC193" s="136">
        <v>3.07</v>
      </c>
      <c r="AD193" s="137">
        <v>4.9400000000000004</v>
      </c>
      <c r="AE193" s="138" t="s">
        <v>49</v>
      </c>
      <c r="AF193" s="138" t="s">
        <v>49</v>
      </c>
      <c r="AG193" s="144">
        <v>2401.6578959726703</v>
      </c>
      <c r="AH193" s="146">
        <v>7.4842718315074963</v>
      </c>
      <c r="AI193" s="110">
        <v>7.4472292810896947</v>
      </c>
      <c r="AJ193" s="151">
        <v>2240.3173974024621</v>
      </c>
      <c r="AK193" s="128">
        <v>2275.6480143389649</v>
      </c>
      <c r="AL193" s="128">
        <v>54.386455137123107</v>
      </c>
      <c r="AM193" s="128">
        <v>62.855695152536775</v>
      </c>
      <c r="AN193" s="111">
        <v>1.47062965651707</v>
      </c>
      <c r="AO193" s="111">
        <v>0.93062729087373031</v>
      </c>
      <c r="AP193" s="108">
        <f t="shared" ref="AP193" si="204">SUM(AK193:AM193)</f>
        <v>2392.8901646286245</v>
      </c>
      <c r="AQ193" s="139"/>
      <c r="AU193" s="123"/>
      <c r="AV193" s="137"/>
      <c r="AY193" s="141" t="s">
        <v>91</v>
      </c>
    </row>
  </sheetData>
  <mergeCells count="33">
    <mergeCell ref="AY2:AY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R2:S2"/>
    <mergeCell ref="T2:V2"/>
    <mergeCell ref="AG2:AH2"/>
    <mergeCell ref="W2:Z2"/>
    <mergeCell ref="AG1:AP1"/>
    <mergeCell ref="AI2:AP2"/>
    <mergeCell ref="N2:N3"/>
    <mergeCell ref="O2:Q2"/>
    <mergeCell ref="AA1:AB1"/>
    <mergeCell ref="AA2:AA3"/>
    <mergeCell ref="A1:D1"/>
    <mergeCell ref="F1:G1"/>
    <mergeCell ref="L1:M1"/>
    <mergeCell ref="N1:T1"/>
    <mergeCell ref="A2:A3"/>
    <mergeCell ref="AB2:AD2"/>
    <mergeCell ref="AE2:AF2"/>
    <mergeCell ref="AW2:AX2"/>
    <mergeCell ref="AQ1:AV1"/>
    <mergeCell ref="AQ2:AV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ht="14.25" customHeight="1" x14ac:dyDescent="0.45"/>
    <row r="2" ht="14.25" customHeight="1" x14ac:dyDescent="0.45"/>
    <row r="3" ht="14.25" customHeight="1" x14ac:dyDescent="0.45"/>
    <row r="4" ht="14.25" customHeight="1" x14ac:dyDescent="0.45"/>
    <row r="5" ht="14.25" customHeight="1" x14ac:dyDescent="0.45"/>
    <row r="6" ht="14.25" customHeight="1" x14ac:dyDescent="0.45"/>
    <row r="7" ht="14.25" customHeight="1" x14ac:dyDescent="0.45"/>
    <row r="8" ht="14.25" customHeight="1" x14ac:dyDescent="0.45"/>
    <row r="9" ht="14.25" customHeight="1" x14ac:dyDescent="0.45"/>
    <row r="10" ht="14.25" customHeight="1" x14ac:dyDescent="0.45"/>
    <row r="11" ht="14.25" customHeight="1" x14ac:dyDescent="0.45"/>
    <row r="12" ht="14.25" customHeight="1" x14ac:dyDescent="0.45"/>
    <row r="13" ht="14.25" customHeight="1" x14ac:dyDescent="0.45"/>
    <row r="14" ht="14.25" customHeight="1" x14ac:dyDescent="0.45"/>
    <row r="15" ht="14.25" customHeight="1" x14ac:dyDescent="0.45"/>
    <row r="16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1000"/>
  <sheetViews>
    <sheetView workbookViewId="0"/>
  </sheetViews>
  <sheetFormatPr defaultColWidth="14.3984375" defaultRowHeight="15" customHeight="1" x14ac:dyDescent="0.45"/>
  <cols>
    <col min="1" max="1" width="9" customWidth="1"/>
    <col min="2" max="3" width="8.53125" customWidth="1"/>
    <col min="4" max="4" width="11" customWidth="1"/>
    <col min="5" max="5" width="9" customWidth="1"/>
    <col min="6" max="7" width="11" customWidth="1"/>
    <col min="8" max="8" width="9" customWidth="1"/>
    <col min="9" max="9" width="8.53125" customWidth="1"/>
    <col min="10" max="10" width="8.1328125" customWidth="1"/>
    <col min="11" max="11" width="9" customWidth="1"/>
    <col min="12" max="12" width="11.53125" customWidth="1"/>
    <col min="13" max="14" width="12.1328125" customWidth="1"/>
    <col min="15" max="19" width="9" customWidth="1"/>
    <col min="20" max="40" width="9.1328125" customWidth="1"/>
  </cols>
  <sheetData>
    <row r="1" spans="1:40" ht="14.25" customHeight="1" x14ac:dyDescent="0.45">
      <c r="A1" s="163" t="s">
        <v>0</v>
      </c>
      <c r="B1" s="164"/>
      <c r="C1" s="164"/>
      <c r="D1" s="156"/>
      <c r="E1" s="1"/>
      <c r="F1" s="204" t="s">
        <v>1</v>
      </c>
      <c r="G1" s="156"/>
      <c r="H1" s="83"/>
      <c r="I1" s="3"/>
      <c r="J1" s="3"/>
      <c r="K1" s="2"/>
      <c r="L1" s="169" t="s">
        <v>3</v>
      </c>
      <c r="M1" s="164"/>
      <c r="N1" s="164"/>
      <c r="O1" s="164"/>
      <c r="P1" s="156"/>
      <c r="Q1" s="84"/>
      <c r="R1" s="85">
        <f t="shared" ref="R1:S1" si="0">Y2</f>
        <v>0.78632836279643581</v>
      </c>
      <c r="S1" s="86">
        <f t="shared" si="0"/>
        <v>1.28892918882394</v>
      </c>
      <c r="T1" s="27"/>
      <c r="U1" s="27"/>
      <c r="V1" s="38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</row>
    <row r="2" spans="1:40" ht="14.25" customHeight="1" x14ac:dyDescent="0.45">
      <c r="A2" s="170" t="s">
        <v>5</v>
      </c>
      <c r="B2" s="188" t="s">
        <v>6</v>
      </c>
      <c r="C2" s="188" t="s">
        <v>7</v>
      </c>
      <c r="D2" s="190" t="s">
        <v>8</v>
      </c>
      <c r="E2" s="192" t="s">
        <v>9</v>
      </c>
      <c r="F2" s="194" t="s">
        <v>10</v>
      </c>
      <c r="G2" s="208" t="s">
        <v>11</v>
      </c>
      <c r="H2" s="202" t="s">
        <v>12</v>
      </c>
      <c r="I2" s="188" t="s">
        <v>13</v>
      </c>
      <c r="J2" s="188" t="s">
        <v>14</v>
      </c>
      <c r="K2" s="197" t="s">
        <v>15</v>
      </c>
      <c r="L2" s="205" t="s">
        <v>18</v>
      </c>
      <c r="M2" s="206" t="s">
        <v>19</v>
      </c>
      <c r="N2" s="156"/>
      <c r="O2" s="207" t="s">
        <v>21</v>
      </c>
      <c r="P2" s="156"/>
      <c r="Q2" s="203" t="s">
        <v>22</v>
      </c>
      <c r="R2" s="164"/>
      <c r="S2" s="156"/>
      <c r="T2" s="38">
        <f>SLOPE(U4:U194,T4:T194)</f>
        <v>0.69513654420320525</v>
      </c>
      <c r="U2" s="38">
        <f>INTERCEPT(U4:U194,T4:T194)</f>
        <v>2.0111901289027108</v>
      </c>
      <c r="V2" s="38"/>
      <c r="W2" s="38">
        <f>STDEV(W4:W196)*1.5</f>
        <v>1.4500247221234943</v>
      </c>
      <c r="X2" s="27"/>
      <c r="Y2" s="87">
        <f>SLOPE(Z4:Z196,Y4:Y196)</f>
        <v>0.78632836279643581</v>
      </c>
      <c r="Z2" s="87">
        <f>INTERCEPT(Z4:Z196,Y4:Y196)</f>
        <v>1.28892918882394</v>
      </c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</row>
    <row r="3" spans="1:40" ht="14.25" customHeight="1" x14ac:dyDescent="0.45">
      <c r="A3" s="171"/>
      <c r="B3" s="189"/>
      <c r="C3" s="189"/>
      <c r="D3" s="191"/>
      <c r="E3" s="193"/>
      <c r="F3" s="171"/>
      <c r="G3" s="191"/>
      <c r="H3" s="171"/>
      <c r="I3" s="189"/>
      <c r="J3" s="189"/>
      <c r="K3" s="189"/>
      <c r="L3" s="191"/>
      <c r="M3" s="88" t="s">
        <v>29</v>
      </c>
      <c r="N3" s="89" t="s">
        <v>30</v>
      </c>
      <c r="O3" s="90" t="s">
        <v>29</v>
      </c>
      <c r="P3" s="91" t="s">
        <v>30</v>
      </c>
      <c r="Q3" s="90" t="s">
        <v>33</v>
      </c>
      <c r="R3" s="92" t="s">
        <v>30</v>
      </c>
      <c r="S3" s="89" t="s">
        <v>35</v>
      </c>
      <c r="T3" s="93" t="s">
        <v>100</v>
      </c>
      <c r="U3" s="93" t="s">
        <v>101</v>
      </c>
      <c r="V3" s="38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</row>
    <row r="4" spans="1:40" ht="14.25" customHeight="1" x14ac:dyDescent="0.45">
      <c r="A4" s="26">
        <v>2024</v>
      </c>
      <c r="B4" s="27">
        <v>11</v>
      </c>
      <c r="C4" s="27">
        <v>26</v>
      </c>
      <c r="D4" s="28">
        <v>0.36458333333333331</v>
      </c>
      <c r="E4" s="29">
        <v>48</v>
      </c>
      <c r="F4" s="94" t="s">
        <v>102</v>
      </c>
      <c r="G4" s="95" t="s">
        <v>103</v>
      </c>
      <c r="H4" s="61">
        <v>23.2</v>
      </c>
      <c r="I4" s="27">
        <v>3</v>
      </c>
      <c r="J4" s="33" t="s">
        <v>47</v>
      </c>
      <c r="K4" s="32">
        <v>1</v>
      </c>
      <c r="L4" s="60">
        <v>4.0999999999999996</v>
      </c>
      <c r="M4" s="37">
        <v>29.4</v>
      </c>
      <c r="N4" s="39">
        <v>29.88</v>
      </c>
      <c r="O4" s="37">
        <v>28.8</v>
      </c>
      <c r="P4" s="40">
        <v>31.63</v>
      </c>
      <c r="Q4" s="38">
        <v>6.24</v>
      </c>
      <c r="R4" s="38">
        <v>5.9219999999999997</v>
      </c>
      <c r="S4" s="51">
        <f t="shared" ref="S4:S88" si="1">$R$1*R4+$S$1</f>
        <v>5.9455657533044324</v>
      </c>
      <c r="T4" s="38">
        <f t="shared" ref="T4:T9" si="2">R4</f>
        <v>5.9219999999999997</v>
      </c>
      <c r="U4" s="38">
        <f t="shared" ref="U4:U9" si="3">Q4</f>
        <v>6.24</v>
      </c>
      <c r="V4" s="38">
        <f t="shared" ref="V4:V9" si="4">T4*$T$2+$U$2</f>
        <v>6.1277887436740919</v>
      </c>
      <c r="W4" s="38">
        <f t="shared" ref="W4:W9" si="5">U4-V4</f>
        <v>0.11221125632590834</v>
      </c>
      <c r="X4" s="27">
        <f t="shared" ref="X4:X195" si="6">IF(ABS(W4)&gt;$W$2,1,0)</f>
        <v>0</v>
      </c>
      <c r="Y4" s="38">
        <f t="shared" ref="Y4:Z4" si="7">IF($X4=0,T4,"")</f>
        <v>5.9219999999999997</v>
      </c>
      <c r="Z4" s="38">
        <f t="shared" si="7"/>
        <v>6.24</v>
      </c>
      <c r="AA4" s="27"/>
      <c r="AB4" s="38">
        <v>0</v>
      </c>
      <c r="AC4" s="38">
        <f t="shared" ref="AC4:AC28" si="8">AB4*$T$2+$U$2</f>
        <v>2.0111901289027108</v>
      </c>
      <c r="AD4" s="38">
        <f t="shared" ref="AD4:AD28" si="9">AC4-$W$2</f>
        <v>0.56116540677921645</v>
      </c>
      <c r="AE4" s="38">
        <f t="shared" ref="AE4:AE28" si="10">AC4+$W$2</f>
        <v>3.4612148510262051</v>
      </c>
      <c r="AF4" s="38">
        <f t="shared" ref="AF4:AF28" si="11">AB4*$Y$2+$Z$2</f>
        <v>1.28892918882394</v>
      </c>
      <c r="AG4" s="27"/>
      <c r="AH4" s="27"/>
      <c r="AI4" s="27"/>
      <c r="AJ4" s="27"/>
      <c r="AK4" s="27"/>
      <c r="AL4" s="27"/>
      <c r="AM4" s="27"/>
      <c r="AN4" s="27"/>
    </row>
    <row r="5" spans="1:40" ht="14.25" customHeight="1" x14ac:dyDescent="0.45">
      <c r="A5" s="26"/>
      <c r="B5" s="27"/>
      <c r="C5" s="27"/>
      <c r="D5" s="28"/>
      <c r="E5" s="29"/>
      <c r="F5" s="94"/>
      <c r="G5" s="95"/>
      <c r="H5" s="61"/>
      <c r="I5" s="27"/>
      <c r="J5" s="33" t="s">
        <v>51</v>
      </c>
      <c r="K5" s="32">
        <v>11.6</v>
      </c>
      <c r="L5" s="60"/>
      <c r="M5" s="37">
        <v>29.2</v>
      </c>
      <c r="N5" s="51">
        <v>29.88</v>
      </c>
      <c r="O5" s="37">
        <v>28.9</v>
      </c>
      <c r="P5" s="52">
        <v>31.69</v>
      </c>
      <c r="Q5" s="38">
        <v>6.43</v>
      </c>
      <c r="R5" s="38">
        <v>6.15</v>
      </c>
      <c r="S5" s="51">
        <f t="shared" si="1"/>
        <v>6.1248486200220205</v>
      </c>
      <c r="T5" s="38">
        <f t="shared" si="2"/>
        <v>6.15</v>
      </c>
      <c r="U5" s="38">
        <f t="shared" si="3"/>
        <v>6.43</v>
      </c>
      <c r="V5" s="38">
        <f t="shared" si="4"/>
        <v>6.286279875752423</v>
      </c>
      <c r="W5" s="38">
        <f t="shared" si="5"/>
        <v>0.14372012424757674</v>
      </c>
      <c r="X5" s="27">
        <f t="shared" si="6"/>
        <v>0</v>
      </c>
      <c r="Y5" s="38">
        <f t="shared" ref="Y5:Z5" si="12">IF($X5=0,T5,"")</f>
        <v>6.15</v>
      </c>
      <c r="Z5" s="38">
        <f t="shared" si="12"/>
        <v>6.43</v>
      </c>
      <c r="AA5" s="27"/>
      <c r="AB5" s="38">
        <v>0.5</v>
      </c>
      <c r="AC5" s="38">
        <f t="shared" si="8"/>
        <v>2.3587584010043132</v>
      </c>
      <c r="AD5" s="38">
        <f t="shared" si="9"/>
        <v>0.90873367888081891</v>
      </c>
      <c r="AE5" s="38">
        <f t="shared" si="10"/>
        <v>3.8087831231278075</v>
      </c>
      <c r="AF5" s="38">
        <f t="shared" si="11"/>
        <v>1.6820933702221579</v>
      </c>
      <c r="AG5" s="27"/>
      <c r="AH5" s="27"/>
      <c r="AI5" s="27"/>
      <c r="AJ5" s="27"/>
      <c r="AK5" s="27"/>
      <c r="AL5" s="27"/>
      <c r="AM5" s="27"/>
      <c r="AN5" s="27"/>
    </row>
    <row r="6" spans="1:40" ht="14.25" customHeight="1" x14ac:dyDescent="0.45">
      <c r="A6" s="26"/>
      <c r="B6" s="27"/>
      <c r="C6" s="27"/>
      <c r="D6" s="28"/>
      <c r="E6" s="29"/>
      <c r="F6" s="94"/>
      <c r="G6" s="95"/>
      <c r="H6" s="61"/>
      <c r="I6" s="27"/>
      <c r="J6" s="33" t="s">
        <v>52</v>
      </c>
      <c r="K6" s="32">
        <v>22</v>
      </c>
      <c r="L6" s="60"/>
      <c r="M6" s="37">
        <v>29.3</v>
      </c>
      <c r="N6" s="51">
        <v>29.88</v>
      </c>
      <c r="O6" s="37">
        <v>28.9</v>
      </c>
      <c r="P6" s="52">
        <v>31.7</v>
      </c>
      <c r="Q6" s="38">
        <v>6.21</v>
      </c>
      <c r="R6" s="38">
        <v>6.2380000000000004</v>
      </c>
      <c r="S6" s="51">
        <f t="shared" si="1"/>
        <v>6.1940455159481074</v>
      </c>
      <c r="T6" s="38">
        <f t="shared" si="2"/>
        <v>6.2380000000000004</v>
      </c>
      <c r="U6" s="38">
        <f t="shared" si="3"/>
        <v>6.21</v>
      </c>
      <c r="V6" s="38">
        <f t="shared" si="4"/>
        <v>6.3474518916423053</v>
      </c>
      <c r="W6" s="38">
        <f t="shared" si="5"/>
        <v>-0.13745189164230531</v>
      </c>
      <c r="X6" s="27">
        <f t="shared" si="6"/>
        <v>0</v>
      </c>
      <c r="Y6" s="38">
        <f t="shared" ref="Y6:Z6" si="13">IF($X6=0,T6,"")</f>
        <v>6.2380000000000004</v>
      </c>
      <c r="Z6" s="38">
        <f t="shared" si="13"/>
        <v>6.21</v>
      </c>
      <c r="AA6" s="27"/>
      <c r="AB6" s="38">
        <v>1</v>
      </c>
      <c r="AC6" s="38">
        <f t="shared" si="8"/>
        <v>2.7063266731059161</v>
      </c>
      <c r="AD6" s="38">
        <f t="shared" si="9"/>
        <v>1.2563019509824218</v>
      </c>
      <c r="AE6" s="38">
        <f t="shared" si="10"/>
        <v>4.1563513952294109</v>
      </c>
      <c r="AF6" s="38">
        <f t="shared" si="11"/>
        <v>2.0752575516203757</v>
      </c>
      <c r="AG6" s="27"/>
      <c r="AH6" s="27"/>
      <c r="AI6" s="27"/>
      <c r="AJ6" s="27"/>
      <c r="AK6" s="27"/>
      <c r="AL6" s="27"/>
      <c r="AM6" s="27"/>
      <c r="AN6" s="27"/>
    </row>
    <row r="7" spans="1:40" ht="14.25" customHeight="1" x14ac:dyDescent="0.45">
      <c r="A7" s="54">
        <v>2024</v>
      </c>
      <c r="B7" s="54">
        <v>11</v>
      </c>
      <c r="C7" s="54">
        <v>26</v>
      </c>
      <c r="D7" s="28">
        <v>0.42777777777777776</v>
      </c>
      <c r="E7" s="55">
        <v>49</v>
      </c>
      <c r="F7" s="94" t="s">
        <v>104</v>
      </c>
      <c r="G7" s="95" t="s">
        <v>105</v>
      </c>
      <c r="H7" s="54">
        <v>21.8</v>
      </c>
      <c r="I7" s="54">
        <v>3</v>
      </c>
      <c r="J7" s="33" t="s">
        <v>47</v>
      </c>
      <c r="K7" s="54">
        <v>1</v>
      </c>
      <c r="L7" s="60">
        <v>4.8</v>
      </c>
      <c r="M7" s="37">
        <v>29.7</v>
      </c>
      <c r="N7" s="51">
        <v>29.8</v>
      </c>
      <c r="O7" s="37">
        <v>29</v>
      </c>
      <c r="P7" s="52">
        <v>31.73</v>
      </c>
      <c r="Q7" s="38">
        <v>6.35</v>
      </c>
      <c r="R7" s="38">
        <v>6.5570000000000004</v>
      </c>
      <c r="S7" s="51">
        <f t="shared" si="1"/>
        <v>6.4448842636801702</v>
      </c>
      <c r="T7" s="38">
        <f t="shared" si="2"/>
        <v>6.5570000000000004</v>
      </c>
      <c r="U7" s="38">
        <f t="shared" si="3"/>
        <v>6.35</v>
      </c>
      <c r="V7" s="38">
        <f t="shared" si="4"/>
        <v>6.5692004492431275</v>
      </c>
      <c r="W7" s="38">
        <f t="shared" si="5"/>
        <v>-0.21920044924312787</v>
      </c>
      <c r="X7" s="27">
        <f t="shared" si="6"/>
        <v>0</v>
      </c>
      <c r="Y7" s="38">
        <f t="shared" ref="Y7:Z7" si="14">IF($X7=0,T7,"")</f>
        <v>6.5570000000000004</v>
      </c>
      <c r="Z7" s="38">
        <f t="shared" si="14"/>
        <v>6.35</v>
      </c>
      <c r="AA7" s="27"/>
      <c r="AB7" s="38">
        <v>1.5</v>
      </c>
      <c r="AC7" s="38">
        <f t="shared" si="8"/>
        <v>3.0538949452075186</v>
      </c>
      <c r="AD7" s="38">
        <f t="shared" si="9"/>
        <v>1.6038702230840243</v>
      </c>
      <c r="AE7" s="38">
        <f t="shared" si="10"/>
        <v>4.5039196673310133</v>
      </c>
      <c r="AF7" s="38">
        <f t="shared" si="11"/>
        <v>2.4684217330185936</v>
      </c>
      <c r="AG7" s="27"/>
      <c r="AH7" s="27"/>
      <c r="AI7" s="27"/>
      <c r="AJ7" s="27"/>
      <c r="AK7" s="27"/>
      <c r="AL7" s="27"/>
      <c r="AM7" s="27"/>
      <c r="AN7" s="27"/>
    </row>
    <row r="8" spans="1:40" ht="14.25" customHeight="1" x14ac:dyDescent="0.45">
      <c r="A8" s="26"/>
      <c r="B8" s="27"/>
      <c r="C8" s="27"/>
      <c r="D8" s="28"/>
      <c r="E8" s="29"/>
      <c r="F8" s="94"/>
      <c r="G8" s="95"/>
      <c r="H8" s="61"/>
      <c r="I8" s="27"/>
      <c r="J8" s="33" t="s">
        <v>51</v>
      </c>
      <c r="K8" s="32">
        <v>10</v>
      </c>
      <c r="L8" s="60"/>
      <c r="M8" s="37">
        <v>29.6</v>
      </c>
      <c r="N8" s="51">
        <v>29.74</v>
      </c>
      <c r="O8" s="37">
        <v>29.1</v>
      </c>
      <c r="P8" s="52">
        <v>31.74</v>
      </c>
      <c r="Q8" s="38">
        <v>6.29</v>
      </c>
      <c r="R8" s="38">
        <v>6.4820000000000002</v>
      </c>
      <c r="S8" s="51">
        <f t="shared" si="1"/>
        <v>6.3859096364704371</v>
      </c>
      <c r="T8" s="38">
        <f t="shared" si="2"/>
        <v>6.4820000000000002</v>
      </c>
      <c r="U8" s="38">
        <f t="shared" si="3"/>
        <v>6.29</v>
      </c>
      <c r="V8" s="38">
        <f t="shared" si="4"/>
        <v>6.5170652084278871</v>
      </c>
      <c r="W8" s="38">
        <f t="shared" si="5"/>
        <v>-0.22706520842788702</v>
      </c>
      <c r="X8" s="27">
        <f t="shared" si="6"/>
        <v>0</v>
      </c>
      <c r="Y8" s="38">
        <f t="shared" ref="Y8:Z8" si="15">IF($X8=0,T8,"")</f>
        <v>6.4820000000000002</v>
      </c>
      <c r="Z8" s="38">
        <f t="shared" si="15"/>
        <v>6.29</v>
      </c>
      <c r="AA8" s="27"/>
      <c r="AB8" s="38">
        <v>2</v>
      </c>
      <c r="AC8" s="38">
        <f t="shared" si="8"/>
        <v>3.4014632173091215</v>
      </c>
      <c r="AD8" s="38">
        <f t="shared" si="9"/>
        <v>1.9514384951856272</v>
      </c>
      <c r="AE8" s="38">
        <f t="shared" si="10"/>
        <v>4.8514879394326158</v>
      </c>
      <c r="AF8" s="38">
        <f t="shared" si="11"/>
        <v>2.8615859144168114</v>
      </c>
      <c r="AG8" s="27"/>
      <c r="AH8" s="27"/>
      <c r="AI8" s="27"/>
      <c r="AJ8" s="27"/>
      <c r="AK8" s="27"/>
      <c r="AL8" s="27"/>
      <c r="AM8" s="27"/>
      <c r="AN8" s="27"/>
    </row>
    <row r="9" spans="1:40" ht="14.25" customHeight="1" x14ac:dyDescent="0.45">
      <c r="A9" s="26"/>
      <c r="B9" s="27"/>
      <c r="C9" s="27"/>
      <c r="D9" s="28"/>
      <c r="E9" s="29"/>
      <c r="F9" s="94"/>
      <c r="G9" s="95"/>
      <c r="H9" s="61"/>
      <c r="I9" s="27"/>
      <c r="J9" s="33" t="s">
        <v>52</v>
      </c>
      <c r="K9" s="32">
        <v>20</v>
      </c>
      <c r="L9" s="60"/>
      <c r="M9" s="37">
        <v>29.8</v>
      </c>
      <c r="N9" s="51">
        <v>29.74</v>
      </c>
      <c r="O9" s="37">
        <v>29.1</v>
      </c>
      <c r="P9" s="52">
        <v>31.75</v>
      </c>
      <c r="Q9" s="38">
        <v>7.19</v>
      </c>
      <c r="R9" s="38">
        <v>6.4429999999999996</v>
      </c>
      <c r="S9" s="51">
        <f t="shared" si="1"/>
        <v>6.3552428303213757</v>
      </c>
      <c r="T9" s="38">
        <f t="shared" si="2"/>
        <v>6.4429999999999996</v>
      </c>
      <c r="U9" s="38">
        <f t="shared" si="3"/>
        <v>7.19</v>
      </c>
      <c r="V9" s="38">
        <f t="shared" si="4"/>
        <v>6.4899548832039615</v>
      </c>
      <c r="W9" s="38">
        <f t="shared" si="5"/>
        <v>0.70004511679603887</v>
      </c>
      <c r="X9" s="27">
        <f t="shared" si="6"/>
        <v>0</v>
      </c>
      <c r="Y9" s="38">
        <f t="shared" ref="Y9:Z9" si="16">IF($X9=0,T9,"")</f>
        <v>6.4429999999999996</v>
      </c>
      <c r="Z9" s="38">
        <f t="shared" si="16"/>
        <v>7.19</v>
      </c>
      <c r="AA9" s="27"/>
      <c r="AB9" s="38">
        <v>2.5</v>
      </c>
      <c r="AC9" s="38">
        <f t="shared" si="8"/>
        <v>3.7490314894107239</v>
      </c>
      <c r="AD9" s="38">
        <f t="shared" si="9"/>
        <v>2.2990067672872296</v>
      </c>
      <c r="AE9" s="38">
        <f t="shared" si="10"/>
        <v>5.1990562115342183</v>
      </c>
      <c r="AF9" s="38">
        <f t="shared" si="11"/>
        <v>3.2547500958150293</v>
      </c>
      <c r="AG9" s="27"/>
      <c r="AH9" s="27"/>
      <c r="AI9" s="27"/>
      <c r="AJ9" s="27"/>
      <c r="AK9" s="27"/>
      <c r="AL9" s="27"/>
      <c r="AM9" s="27"/>
      <c r="AN9" s="27"/>
    </row>
    <row r="10" spans="1:40" ht="14.25" customHeight="1" x14ac:dyDescent="0.45">
      <c r="A10" s="26">
        <v>2024</v>
      </c>
      <c r="B10" s="27">
        <v>11</v>
      </c>
      <c r="C10" s="27">
        <v>26</v>
      </c>
      <c r="D10" s="28">
        <v>0.54166666666666663</v>
      </c>
      <c r="E10" s="29">
        <v>50</v>
      </c>
      <c r="F10" s="94" t="s">
        <v>106</v>
      </c>
      <c r="G10" s="95" t="s">
        <v>107</v>
      </c>
      <c r="H10" s="61">
        <v>20</v>
      </c>
      <c r="I10" s="27">
        <v>3</v>
      </c>
      <c r="J10" s="33" t="s">
        <v>47</v>
      </c>
      <c r="K10" s="32">
        <v>1</v>
      </c>
      <c r="L10" s="60">
        <v>4.0999999999999996</v>
      </c>
      <c r="M10" s="37">
        <v>29.9</v>
      </c>
      <c r="N10" s="51">
        <v>29.95</v>
      </c>
      <c r="O10" s="37">
        <v>29</v>
      </c>
      <c r="P10" s="52">
        <v>31.74</v>
      </c>
      <c r="Q10" s="38"/>
      <c r="R10" s="38">
        <v>6.7350000000000003</v>
      </c>
      <c r="S10" s="51">
        <f t="shared" si="1"/>
        <v>6.5848507122579356</v>
      </c>
      <c r="T10" s="38"/>
      <c r="U10" s="38"/>
      <c r="V10" s="38"/>
      <c r="W10" s="38"/>
      <c r="X10" s="27">
        <f t="shared" si="6"/>
        <v>0</v>
      </c>
      <c r="Y10" s="38"/>
      <c r="Z10" s="38"/>
      <c r="AA10" s="27"/>
      <c r="AB10" s="38">
        <v>3</v>
      </c>
      <c r="AC10" s="38">
        <f t="shared" si="8"/>
        <v>4.0965997615123264</v>
      </c>
      <c r="AD10" s="38">
        <f t="shared" si="9"/>
        <v>2.6465750393888321</v>
      </c>
      <c r="AE10" s="38">
        <f t="shared" si="10"/>
        <v>5.5466244836358207</v>
      </c>
      <c r="AF10" s="38">
        <f t="shared" si="11"/>
        <v>3.6479142772132476</v>
      </c>
      <c r="AG10" s="27"/>
      <c r="AH10" s="27"/>
      <c r="AI10" s="27"/>
      <c r="AJ10" s="27"/>
      <c r="AK10" s="27"/>
      <c r="AL10" s="27"/>
      <c r="AM10" s="27"/>
      <c r="AN10" s="27"/>
    </row>
    <row r="11" spans="1:40" ht="14.25" customHeight="1" x14ac:dyDescent="0.45">
      <c r="A11" s="26"/>
      <c r="B11" s="27"/>
      <c r="C11" s="27"/>
      <c r="D11" s="28"/>
      <c r="E11" s="29"/>
      <c r="F11" s="94"/>
      <c r="G11" s="95"/>
      <c r="H11" s="61"/>
      <c r="I11" s="27"/>
      <c r="J11" s="33" t="s">
        <v>51</v>
      </c>
      <c r="K11" s="32">
        <v>10</v>
      </c>
      <c r="L11" s="60"/>
      <c r="M11" s="37">
        <v>29.8</v>
      </c>
      <c r="N11" s="51">
        <v>29.76</v>
      </c>
      <c r="O11" s="37">
        <v>29</v>
      </c>
      <c r="P11" s="52">
        <v>31.74</v>
      </c>
      <c r="Q11" s="38"/>
      <c r="R11" s="38">
        <v>6.6029999999999998</v>
      </c>
      <c r="S11" s="51">
        <f t="shared" si="1"/>
        <v>6.4810553683688052</v>
      </c>
      <c r="T11" s="38"/>
      <c r="U11" s="38"/>
      <c r="V11" s="38"/>
      <c r="W11" s="38"/>
      <c r="X11" s="27">
        <f t="shared" si="6"/>
        <v>0</v>
      </c>
      <c r="Y11" s="38"/>
      <c r="Z11" s="38"/>
      <c r="AA11" s="27"/>
      <c r="AB11" s="38">
        <v>3.5</v>
      </c>
      <c r="AC11" s="38">
        <f t="shared" si="8"/>
        <v>4.4441680336139289</v>
      </c>
      <c r="AD11" s="38">
        <f t="shared" si="9"/>
        <v>2.9941433114904346</v>
      </c>
      <c r="AE11" s="38">
        <f t="shared" si="10"/>
        <v>5.8941927557374232</v>
      </c>
      <c r="AF11" s="38">
        <f t="shared" si="11"/>
        <v>4.0410784586114659</v>
      </c>
      <c r="AG11" s="27"/>
      <c r="AH11" s="27"/>
      <c r="AI11" s="27"/>
      <c r="AJ11" s="27"/>
      <c r="AK11" s="27"/>
      <c r="AL11" s="27"/>
      <c r="AM11" s="27"/>
      <c r="AN11" s="27"/>
    </row>
    <row r="12" spans="1:40" ht="14.25" customHeight="1" x14ac:dyDescent="0.45">
      <c r="A12" s="26"/>
      <c r="B12" s="27"/>
      <c r="C12" s="27"/>
      <c r="D12" s="28"/>
      <c r="E12" s="29"/>
      <c r="F12" s="94"/>
      <c r="G12" s="95"/>
      <c r="H12" s="61"/>
      <c r="I12" s="27"/>
      <c r="J12" s="33" t="s">
        <v>52</v>
      </c>
      <c r="K12" s="32">
        <v>19</v>
      </c>
      <c r="L12" s="60"/>
      <c r="M12" s="37">
        <v>30.1</v>
      </c>
      <c r="N12" s="51">
        <v>29.73</v>
      </c>
      <c r="O12" s="37">
        <v>29</v>
      </c>
      <c r="P12" s="52">
        <v>31.75</v>
      </c>
      <c r="Q12" s="38"/>
      <c r="R12" s="38">
        <v>6.5129999999999999</v>
      </c>
      <c r="S12" s="51">
        <f t="shared" si="1"/>
        <v>6.4102858157171267</v>
      </c>
      <c r="T12" s="38"/>
      <c r="U12" s="38"/>
      <c r="V12" s="38"/>
      <c r="W12" s="38"/>
      <c r="X12" s="27">
        <f t="shared" si="6"/>
        <v>0</v>
      </c>
      <c r="Y12" s="38"/>
      <c r="Z12" s="38"/>
      <c r="AA12" s="27"/>
      <c r="AB12" s="38">
        <v>4</v>
      </c>
      <c r="AC12" s="38">
        <f t="shared" si="8"/>
        <v>4.7917363057155313</v>
      </c>
      <c r="AD12" s="38">
        <f t="shared" si="9"/>
        <v>3.341711583592037</v>
      </c>
      <c r="AE12" s="38">
        <f t="shared" si="10"/>
        <v>6.2417610278390256</v>
      </c>
      <c r="AF12" s="38">
        <f t="shared" si="11"/>
        <v>4.4342426400096837</v>
      </c>
      <c r="AG12" s="27"/>
      <c r="AH12" s="27"/>
      <c r="AI12" s="27"/>
      <c r="AJ12" s="27"/>
      <c r="AK12" s="27"/>
      <c r="AL12" s="27"/>
      <c r="AM12" s="27"/>
      <c r="AN12" s="27"/>
    </row>
    <row r="13" spans="1:40" ht="14.25" customHeight="1" x14ac:dyDescent="0.45">
      <c r="A13" s="26">
        <v>2024</v>
      </c>
      <c r="B13" s="54">
        <v>11</v>
      </c>
      <c r="C13" s="27">
        <v>26</v>
      </c>
      <c r="D13" s="28">
        <v>0.57291666666666663</v>
      </c>
      <c r="E13" s="29">
        <v>51</v>
      </c>
      <c r="F13" s="94" t="s">
        <v>108</v>
      </c>
      <c r="G13" s="95" t="s">
        <v>109</v>
      </c>
      <c r="H13" s="61">
        <v>18</v>
      </c>
      <c r="I13" s="27">
        <v>3</v>
      </c>
      <c r="J13" s="33" t="s">
        <v>47</v>
      </c>
      <c r="K13" s="32">
        <v>1</v>
      </c>
      <c r="L13" s="60">
        <v>2.7</v>
      </c>
      <c r="M13" s="37">
        <v>29.9</v>
      </c>
      <c r="N13" s="51">
        <v>29.76</v>
      </c>
      <c r="O13" s="37">
        <v>28.9</v>
      </c>
      <c r="P13" s="52">
        <v>31.56</v>
      </c>
      <c r="Q13" s="38">
        <v>6.6</v>
      </c>
      <c r="R13" s="38">
        <v>7.7069999999999999</v>
      </c>
      <c r="S13" s="51">
        <f t="shared" si="1"/>
        <v>7.3491618808960704</v>
      </c>
      <c r="T13" s="38">
        <f t="shared" ref="T13:T15" si="17">R13</f>
        <v>7.7069999999999999</v>
      </c>
      <c r="U13" s="38">
        <f t="shared" ref="U13:U15" si="18">Q13</f>
        <v>6.6</v>
      </c>
      <c r="V13" s="38">
        <f t="shared" ref="V13:V15" si="19">T13*$T$2+$U$2</f>
        <v>7.3686074750768134</v>
      </c>
      <c r="W13" s="38">
        <f t="shared" ref="W13:W15" si="20">U13-V13</f>
        <v>-0.76860747507681371</v>
      </c>
      <c r="X13" s="27">
        <f t="shared" si="6"/>
        <v>0</v>
      </c>
      <c r="Y13" s="38">
        <f t="shared" ref="Y13:Z13" si="21">IF($X13=0,T13,"")</f>
        <v>7.7069999999999999</v>
      </c>
      <c r="Z13" s="38">
        <f t="shared" si="21"/>
        <v>6.6</v>
      </c>
      <c r="AA13" s="27"/>
      <c r="AB13" s="38">
        <v>4.5</v>
      </c>
      <c r="AC13" s="38">
        <f t="shared" si="8"/>
        <v>5.1393045778171338</v>
      </c>
      <c r="AD13" s="38">
        <f t="shared" si="9"/>
        <v>3.6892798556936395</v>
      </c>
      <c r="AE13" s="38">
        <f t="shared" si="10"/>
        <v>6.5893292999406281</v>
      </c>
      <c r="AF13" s="38">
        <f t="shared" si="11"/>
        <v>4.8274068214079016</v>
      </c>
      <c r="AG13" s="27"/>
      <c r="AH13" s="27"/>
      <c r="AI13" s="27"/>
      <c r="AJ13" s="27"/>
      <c r="AK13" s="27"/>
      <c r="AL13" s="27"/>
      <c r="AM13" s="27"/>
      <c r="AN13" s="27"/>
    </row>
    <row r="14" spans="1:40" ht="14.25" customHeight="1" x14ac:dyDescent="0.45">
      <c r="A14" s="26"/>
      <c r="C14" s="27"/>
      <c r="D14" s="28"/>
      <c r="E14" s="29"/>
      <c r="F14" s="94"/>
      <c r="G14" s="95"/>
      <c r="H14" s="61"/>
      <c r="I14" s="27"/>
      <c r="J14" s="33" t="s">
        <v>51</v>
      </c>
      <c r="K14" s="32">
        <v>9</v>
      </c>
      <c r="L14" s="60"/>
      <c r="M14" s="37">
        <v>29.6</v>
      </c>
      <c r="N14" s="51">
        <v>29.61</v>
      </c>
      <c r="O14" s="37">
        <v>28.9</v>
      </c>
      <c r="P14" s="52">
        <v>31.63</v>
      </c>
      <c r="Q14" s="38">
        <v>6.91</v>
      </c>
      <c r="R14" s="38">
        <v>7.1929999999999996</v>
      </c>
      <c r="S14" s="51">
        <f t="shared" si="1"/>
        <v>6.9449891024187025</v>
      </c>
      <c r="T14" s="38">
        <f t="shared" si="17"/>
        <v>7.1929999999999996</v>
      </c>
      <c r="U14" s="38">
        <f t="shared" si="18"/>
        <v>6.91</v>
      </c>
      <c r="V14" s="38">
        <f t="shared" si="19"/>
        <v>7.0113072913563661</v>
      </c>
      <c r="W14" s="38">
        <f t="shared" si="20"/>
        <v>-0.10130729135636596</v>
      </c>
      <c r="X14" s="27">
        <f t="shared" si="6"/>
        <v>0</v>
      </c>
      <c r="Y14" s="38">
        <f t="shared" ref="Y14:Z14" si="22">IF($X14=0,T14,"")</f>
        <v>7.1929999999999996</v>
      </c>
      <c r="Z14" s="38">
        <f t="shared" si="22"/>
        <v>6.91</v>
      </c>
      <c r="AA14" s="27"/>
      <c r="AB14" s="38">
        <v>5</v>
      </c>
      <c r="AC14" s="38">
        <f t="shared" si="8"/>
        <v>5.4868728499187371</v>
      </c>
      <c r="AD14" s="38">
        <f t="shared" si="9"/>
        <v>4.0368481277952428</v>
      </c>
      <c r="AE14" s="38">
        <f t="shared" si="10"/>
        <v>6.9368975720422315</v>
      </c>
      <c r="AF14" s="38">
        <f t="shared" si="11"/>
        <v>5.2205710028061194</v>
      </c>
      <c r="AG14" s="27"/>
      <c r="AH14" s="27"/>
      <c r="AI14" s="27"/>
      <c r="AJ14" s="27"/>
      <c r="AK14" s="27"/>
      <c r="AL14" s="27"/>
      <c r="AM14" s="27"/>
      <c r="AN14" s="27"/>
    </row>
    <row r="15" spans="1:40" ht="14.25" customHeight="1" x14ac:dyDescent="0.45">
      <c r="A15" s="26"/>
      <c r="B15" s="27"/>
      <c r="C15" s="27"/>
      <c r="D15" s="28"/>
      <c r="E15" s="29"/>
      <c r="F15" s="94"/>
      <c r="G15" s="95"/>
      <c r="H15" s="61"/>
      <c r="I15" s="27"/>
      <c r="J15" s="33" t="s">
        <v>52</v>
      </c>
      <c r="K15" s="32">
        <v>17</v>
      </c>
      <c r="L15" s="60"/>
      <c r="M15" s="37">
        <v>29.3</v>
      </c>
      <c r="N15" s="51">
        <v>29.5</v>
      </c>
      <c r="O15" s="37">
        <v>29</v>
      </c>
      <c r="P15" s="52">
        <v>31.63</v>
      </c>
      <c r="Q15" s="38">
        <v>6.54</v>
      </c>
      <c r="R15" s="38">
        <v>6.8230000000000004</v>
      </c>
      <c r="S15" s="51">
        <f t="shared" si="1"/>
        <v>6.6540476081840216</v>
      </c>
      <c r="T15" s="38">
        <f t="shared" si="17"/>
        <v>6.8230000000000004</v>
      </c>
      <c r="U15" s="38">
        <f t="shared" si="18"/>
        <v>6.54</v>
      </c>
      <c r="V15" s="38">
        <f t="shared" si="19"/>
        <v>6.7541067700011803</v>
      </c>
      <c r="W15" s="38">
        <f t="shared" si="20"/>
        <v>-0.21410677000118028</v>
      </c>
      <c r="X15" s="27">
        <f t="shared" si="6"/>
        <v>0</v>
      </c>
      <c r="Y15" s="38">
        <f t="shared" ref="Y15:Z15" si="23">IF($X15=0,T15,"")</f>
        <v>6.8230000000000004</v>
      </c>
      <c r="Z15" s="38">
        <f t="shared" si="23"/>
        <v>6.54</v>
      </c>
      <c r="AA15" s="27"/>
      <c r="AB15" s="38">
        <v>5.5</v>
      </c>
      <c r="AC15" s="38">
        <f t="shared" si="8"/>
        <v>5.8344411220203396</v>
      </c>
      <c r="AD15" s="38">
        <f t="shared" si="9"/>
        <v>4.3844163998968453</v>
      </c>
      <c r="AE15" s="38">
        <f t="shared" si="10"/>
        <v>7.2844658441438339</v>
      </c>
      <c r="AF15" s="38">
        <f t="shared" si="11"/>
        <v>5.6137351842043373</v>
      </c>
      <c r="AG15" s="27"/>
      <c r="AH15" s="27"/>
      <c r="AI15" s="27"/>
      <c r="AJ15" s="27"/>
      <c r="AK15" s="27"/>
      <c r="AL15" s="27"/>
      <c r="AM15" s="27"/>
      <c r="AN15" s="27"/>
    </row>
    <row r="16" spans="1:40" ht="14.25" customHeight="1" x14ac:dyDescent="0.45">
      <c r="A16" s="26">
        <v>2024</v>
      </c>
      <c r="B16" s="27">
        <v>11</v>
      </c>
      <c r="C16" s="27">
        <v>26</v>
      </c>
      <c r="D16" s="28">
        <v>0.60763888888888884</v>
      </c>
      <c r="E16" s="29">
        <v>52</v>
      </c>
      <c r="F16" s="94" t="s">
        <v>110</v>
      </c>
      <c r="G16" s="95" t="s">
        <v>111</v>
      </c>
      <c r="H16" s="61">
        <v>15.6</v>
      </c>
      <c r="I16" s="27">
        <v>3</v>
      </c>
      <c r="J16" s="33" t="s">
        <v>47</v>
      </c>
      <c r="K16" s="32">
        <v>1</v>
      </c>
      <c r="L16" s="60">
        <v>2.8</v>
      </c>
      <c r="M16" s="37">
        <v>29.3</v>
      </c>
      <c r="N16" s="51">
        <v>29.58</v>
      </c>
      <c r="O16" s="37">
        <v>28.6</v>
      </c>
      <c r="P16" s="52">
        <v>31.26</v>
      </c>
      <c r="Q16" s="38"/>
      <c r="R16" s="38">
        <v>8.8970000000000002</v>
      </c>
      <c r="S16" s="51">
        <f t="shared" si="1"/>
        <v>8.2848926326238299</v>
      </c>
      <c r="T16" s="38"/>
      <c r="U16" s="38"/>
      <c r="V16" s="38"/>
      <c r="W16" s="38"/>
      <c r="X16" s="27">
        <f t="shared" si="6"/>
        <v>0</v>
      </c>
      <c r="Y16" s="38"/>
      <c r="Z16" s="38"/>
      <c r="AA16" s="27"/>
      <c r="AB16" s="38">
        <v>6</v>
      </c>
      <c r="AC16" s="38">
        <f t="shared" si="8"/>
        <v>6.1820093941219421</v>
      </c>
      <c r="AD16" s="38">
        <f t="shared" si="9"/>
        <v>4.7319846719984477</v>
      </c>
      <c r="AE16" s="38">
        <f t="shared" si="10"/>
        <v>7.6320341162454364</v>
      </c>
      <c r="AF16" s="38">
        <f t="shared" si="11"/>
        <v>6.0068993656025551</v>
      </c>
      <c r="AG16" s="27"/>
      <c r="AH16" s="27"/>
      <c r="AI16" s="27"/>
      <c r="AJ16" s="27"/>
      <c r="AK16" s="27"/>
      <c r="AL16" s="27"/>
      <c r="AM16" s="27"/>
      <c r="AN16" s="27"/>
    </row>
    <row r="17" spans="1:40" ht="14.25" customHeight="1" x14ac:dyDescent="0.45">
      <c r="A17" s="26"/>
      <c r="C17" s="27"/>
      <c r="D17" s="28"/>
      <c r="E17" s="29"/>
      <c r="F17" s="94"/>
      <c r="G17" s="95"/>
      <c r="H17" s="61"/>
      <c r="I17" s="27"/>
      <c r="J17" s="33" t="s">
        <v>51</v>
      </c>
      <c r="K17" s="32">
        <v>7</v>
      </c>
      <c r="L17" s="60"/>
      <c r="M17" s="37">
        <v>29.4</v>
      </c>
      <c r="N17" s="51">
        <v>29.42</v>
      </c>
      <c r="O17" s="37">
        <v>28.6</v>
      </c>
      <c r="P17" s="52">
        <v>31.43</v>
      </c>
      <c r="Q17" s="38"/>
      <c r="R17" s="38">
        <v>7.58</v>
      </c>
      <c r="S17" s="51">
        <f t="shared" si="1"/>
        <v>7.2492981788209239</v>
      </c>
      <c r="T17" s="38"/>
      <c r="U17" s="38"/>
      <c r="V17" s="38"/>
      <c r="W17" s="38"/>
      <c r="X17" s="27">
        <f t="shared" si="6"/>
        <v>0</v>
      </c>
      <c r="Y17" s="38"/>
      <c r="Z17" s="38"/>
      <c r="AA17" s="27"/>
      <c r="AB17" s="38">
        <v>6.5</v>
      </c>
      <c r="AC17" s="38">
        <f t="shared" si="8"/>
        <v>6.5295776662235445</v>
      </c>
      <c r="AD17" s="38">
        <f t="shared" si="9"/>
        <v>5.0795529441000502</v>
      </c>
      <c r="AE17" s="38">
        <f t="shared" si="10"/>
        <v>7.9796023883470388</v>
      </c>
      <c r="AF17" s="38">
        <f t="shared" si="11"/>
        <v>6.400063547000773</v>
      </c>
      <c r="AG17" s="27"/>
      <c r="AH17" s="27"/>
      <c r="AI17" s="27"/>
      <c r="AJ17" s="27"/>
      <c r="AK17" s="27"/>
      <c r="AL17" s="27"/>
      <c r="AM17" s="27"/>
      <c r="AN17" s="27"/>
    </row>
    <row r="18" spans="1:40" ht="14.25" customHeight="1" x14ac:dyDescent="0.45">
      <c r="A18" s="26"/>
      <c r="B18" s="27"/>
      <c r="C18" s="27"/>
      <c r="D18" s="28"/>
      <c r="E18" s="29"/>
      <c r="F18" s="94"/>
      <c r="G18" s="95"/>
      <c r="H18" s="61"/>
      <c r="I18" s="27"/>
      <c r="J18" s="33" t="s">
        <v>52</v>
      </c>
      <c r="K18" s="32">
        <v>14</v>
      </c>
      <c r="L18" s="60"/>
      <c r="M18" s="37">
        <v>29.4</v>
      </c>
      <c r="N18" s="51">
        <v>29.48</v>
      </c>
      <c r="O18" s="37">
        <v>28.8</v>
      </c>
      <c r="P18" s="52">
        <v>31.52</v>
      </c>
      <c r="Q18" s="38"/>
      <c r="R18" s="38">
        <v>6.55</v>
      </c>
      <c r="S18" s="51">
        <f t="shared" si="1"/>
        <v>6.4393799651405947</v>
      </c>
      <c r="T18" s="38"/>
      <c r="U18" s="38"/>
      <c r="V18" s="38"/>
      <c r="W18" s="38"/>
      <c r="X18" s="27">
        <f t="shared" si="6"/>
        <v>0</v>
      </c>
      <c r="Y18" s="38"/>
      <c r="Z18" s="38"/>
      <c r="AA18" s="27"/>
      <c r="AB18" s="38">
        <v>7</v>
      </c>
      <c r="AC18" s="38">
        <f t="shared" si="8"/>
        <v>6.8771459383251479</v>
      </c>
      <c r="AD18" s="38">
        <f t="shared" si="9"/>
        <v>5.4271212162016536</v>
      </c>
      <c r="AE18" s="38">
        <f t="shared" si="10"/>
        <v>8.3271706604486422</v>
      </c>
      <c r="AF18" s="38">
        <f t="shared" si="11"/>
        <v>6.7932277283989908</v>
      </c>
      <c r="AG18" s="27"/>
      <c r="AH18" s="27"/>
      <c r="AI18" s="27"/>
      <c r="AJ18" s="27"/>
      <c r="AK18" s="27"/>
      <c r="AL18" s="27"/>
      <c r="AM18" s="27"/>
      <c r="AN18" s="27"/>
    </row>
    <row r="19" spans="1:40" ht="14.25" customHeight="1" x14ac:dyDescent="0.45">
      <c r="A19" s="26">
        <v>2024</v>
      </c>
      <c r="B19" s="27">
        <v>11</v>
      </c>
      <c r="C19" s="27">
        <v>26</v>
      </c>
      <c r="D19" s="28">
        <v>0.63888888888888884</v>
      </c>
      <c r="E19" s="29">
        <v>54</v>
      </c>
      <c r="F19" s="94" t="s">
        <v>112</v>
      </c>
      <c r="G19" s="95" t="s">
        <v>113</v>
      </c>
      <c r="H19" s="61">
        <v>10</v>
      </c>
      <c r="I19" s="27">
        <v>3</v>
      </c>
      <c r="J19" s="33" t="s">
        <v>47</v>
      </c>
      <c r="K19" s="32">
        <v>1</v>
      </c>
      <c r="L19" s="60">
        <v>2.1</v>
      </c>
      <c r="M19" s="37">
        <v>29.6</v>
      </c>
      <c r="N19" s="51">
        <v>29.68</v>
      </c>
      <c r="O19" s="37">
        <v>28.4</v>
      </c>
      <c r="P19" s="52">
        <v>31</v>
      </c>
      <c r="Q19" s="38">
        <v>7.16</v>
      </c>
      <c r="R19" s="38">
        <v>8.5730000000000004</v>
      </c>
      <c r="S19" s="51">
        <f t="shared" si="1"/>
        <v>8.0301222430777841</v>
      </c>
      <c r="T19" s="38">
        <f t="shared" ref="T19:T30" si="24">R19</f>
        <v>8.5730000000000004</v>
      </c>
      <c r="U19" s="38">
        <f t="shared" ref="U19:U30" si="25">Q19</f>
        <v>7.16</v>
      </c>
      <c r="V19" s="38">
        <f t="shared" ref="V19:V30" si="26">T19*$T$2+$U$2</f>
        <v>7.9705957223567898</v>
      </c>
      <c r="W19" s="38">
        <f t="shared" ref="W19:W30" si="27">U19-V19</f>
        <v>-0.81059572235678967</v>
      </c>
      <c r="X19" s="27">
        <f t="shared" si="6"/>
        <v>0</v>
      </c>
      <c r="Y19" s="38">
        <f t="shared" ref="Y19:Z19" si="28">IF($X19=0,T19,"")</f>
        <v>8.5730000000000004</v>
      </c>
      <c r="Z19" s="38">
        <f t="shared" si="28"/>
        <v>7.16</v>
      </c>
      <c r="AA19" s="27"/>
      <c r="AB19" s="38">
        <v>7.5</v>
      </c>
      <c r="AC19" s="38">
        <f t="shared" si="8"/>
        <v>7.2247142104267503</v>
      </c>
      <c r="AD19" s="38">
        <f t="shared" si="9"/>
        <v>5.774689488303256</v>
      </c>
      <c r="AE19" s="38">
        <f t="shared" si="10"/>
        <v>8.6747389325502446</v>
      </c>
      <c r="AF19" s="38">
        <f t="shared" si="11"/>
        <v>7.1863919097972087</v>
      </c>
      <c r="AG19" s="27"/>
      <c r="AH19" s="27"/>
      <c r="AI19" s="27"/>
      <c r="AJ19" s="27"/>
      <c r="AK19" s="27"/>
      <c r="AL19" s="27"/>
      <c r="AM19" s="27"/>
      <c r="AN19" s="27"/>
    </row>
    <row r="20" spans="1:40" ht="14.25" customHeight="1" x14ac:dyDescent="0.45">
      <c r="A20" s="26"/>
      <c r="B20" s="27"/>
      <c r="C20" s="27"/>
      <c r="D20" s="28"/>
      <c r="E20" s="29"/>
      <c r="F20" s="94"/>
      <c r="G20" s="95"/>
      <c r="H20" s="61"/>
      <c r="I20" s="27"/>
      <c r="J20" s="33" t="s">
        <v>51</v>
      </c>
      <c r="K20" s="32">
        <v>5</v>
      </c>
      <c r="L20" s="60"/>
      <c r="M20" s="37">
        <v>29.6</v>
      </c>
      <c r="N20" s="51">
        <v>29.51</v>
      </c>
      <c r="O20" s="37">
        <v>28.4</v>
      </c>
      <c r="P20" s="43">
        <v>31.17</v>
      </c>
      <c r="Q20" s="38">
        <v>7.03</v>
      </c>
      <c r="R20" s="38">
        <v>8.1300000000000008</v>
      </c>
      <c r="S20" s="51">
        <f t="shared" si="1"/>
        <v>7.6817787783589635</v>
      </c>
      <c r="T20" s="38">
        <f t="shared" si="24"/>
        <v>8.1300000000000008</v>
      </c>
      <c r="U20" s="38">
        <f t="shared" si="25"/>
        <v>7.03</v>
      </c>
      <c r="V20" s="38">
        <f t="shared" si="26"/>
        <v>7.6626502332747704</v>
      </c>
      <c r="W20" s="38">
        <f t="shared" si="27"/>
        <v>-0.6326502332747701</v>
      </c>
      <c r="X20" s="27">
        <f t="shared" si="6"/>
        <v>0</v>
      </c>
      <c r="Y20" s="38">
        <f t="shared" ref="Y20:Z20" si="29">IF($X20=0,T20,"")</f>
        <v>8.1300000000000008</v>
      </c>
      <c r="Z20" s="38">
        <f t="shared" si="29"/>
        <v>7.03</v>
      </c>
      <c r="AA20" s="27"/>
      <c r="AB20" s="38">
        <v>8</v>
      </c>
      <c r="AC20" s="38">
        <f t="shared" si="8"/>
        <v>7.5722824825283528</v>
      </c>
      <c r="AD20" s="38">
        <f t="shared" si="9"/>
        <v>6.1222577604048585</v>
      </c>
      <c r="AE20" s="38">
        <f t="shared" si="10"/>
        <v>9.0223072046518471</v>
      </c>
      <c r="AF20" s="38">
        <f t="shared" si="11"/>
        <v>7.5795560911954265</v>
      </c>
      <c r="AG20" s="27"/>
      <c r="AH20" s="27"/>
      <c r="AI20" s="27"/>
      <c r="AJ20" s="27"/>
      <c r="AK20" s="27"/>
      <c r="AL20" s="27"/>
      <c r="AM20" s="27"/>
      <c r="AN20" s="27"/>
    </row>
    <row r="21" spans="1:40" ht="14.25" customHeight="1" x14ac:dyDescent="0.45">
      <c r="A21" s="26"/>
      <c r="C21" s="27"/>
      <c r="D21" s="28"/>
      <c r="E21" s="29"/>
      <c r="F21" s="94"/>
      <c r="G21" s="95"/>
      <c r="H21" s="61"/>
      <c r="I21" s="27"/>
      <c r="J21" s="33" t="s">
        <v>52</v>
      </c>
      <c r="K21" s="32">
        <v>9</v>
      </c>
      <c r="L21" s="60"/>
      <c r="M21" s="37">
        <v>29.4</v>
      </c>
      <c r="N21" s="51">
        <v>29.4</v>
      </c>
      <c r="O21" s="37">
        <v>28.5</v>
      </c>
      <c r="P21" s="52">
        <v>31.45</v>
      </c>
      <c r="Q21" s="38">
        <v>6.68</v>
      </c>
      <c r="R21" s="38">
        <v>5.9459999999999997</v>
      </c>
      <c r="S21" s="51">
        <f t="shared" si="1"/>
        <v>5.9644376340115475</v>
      </c>
      <c r="T21" s="38">
        <f t="shared" si="24"/>
        <v>5.9459999999999997</v>
      </c>
      <c r="U21" s="38">
        <f t="shared" si="25"/>
        <v>6.68</v>
      </c>
      <c r="V21" s="38">
        <f t="shared" si="26"/>
        <v>6.1444720207349688</v>
      </c>
      <c r="W21" s="38">
        <f t="shared" si="27"/>
        <v>0.53552797926503093</v>
      </c>
      <c r="X21" s="27">
        <f t="shared" si="6"/>
        <v>0</v>
      </c>
      <c r="Y21" s="38">
        <f t="shared" ref="Y21:Z21" si="30">IF($X21=0,T21,"")</f>
        <v>5.9459999999999997</v>
      </c>
      <c r="Z21" s="38">
        <f t="shared" si="30"/>
        <v>6.68</v>
      </c>
      <c r="AA21" s="27"/>
      <c r="AB21" s="38">
        <v>8.5</v>
      </c>
      <c r="AC21" s="38">
        <f t="shared" si="8"/>
        <v>7.9198507546299552</v>
      </c>
      <c r="AD21" s="38">
        <f t="shared" si="9"/>
        <v>6.4698260325064609</v>
      </c>
      <c r="AE21" s="38">
        <f t="shared" si="10"/>
        <v>9.3698754767534496</v>
      </c>
      <c r="AF21" s="38">
        <f t="shared" si="11"/>
        <v>7.9727202725936444</v>
      </c>
      <c r="AG21" s="27"/>
      <c r="AH21" s="27"/>
      <c r="AI21" s="27"/>
      <c r="AJ21" s="27"/>
      <c r="AK21" s="27"/>
      <c r="AL21" s="27"/>
      <c r="AM21" s="27"/>
      <c r="AN21" s="27"/>
    </row>
    <row r="22" spans="1:40" ht="14.25" customHeight="1" x14ac:dyDescent="0.45">
      <c r="A22" s="26">
        <v>2024</v>
      </c>
      <c r="B22" s="27">
        <v>11</v>
      </c>
      <c r="C22" s="27">
        <v>26</v>
      </c>
      <c r="D22" s="28">
        <v>0.70138888888888884</v>
      </c>
      <c r="E22" s="29">
        <v>55</v>
      </c>
      <c r="F22" s="94" t="s">
        <v>114</v>
      </c>
      <c r="G22" s="95" t="s">
        <v>115</v>
      </c>
      <c r="H22" s="61">
        <v>7.3</v>
      </c>
      <c r="I22" s="27">
        <v>3</v>
      </c>
      <c r="J22" s="33" t="s">
        <v>47</v>
      </c>
      <c r="K22" s="32">
        <v>1</v>
      </c>
      <c r="L22" s="60">
        <v>1.5</v>
      </c>
      <c r="M22" s="37">
        <v>29.5</v>
      </c>
      <c r="N22" s="51">
        <v>29.75</v>
      </c>
      <c r="O22" s="37">
        <v>27.5</v>
      </c>
      <c r="P22" s="52">
        <v>30.17</v>
      </c>
      <c r="Q22" s="38">
        <v>6.16</v>
      </c>
      <c r="R22" s="38">
        <v>11.712</v>
      </c>
      <c r="S22" s="51">
        <f t="shared" si="1"/>
        <v>10.498406973895797</v>
      </c>
      <c r="T22" s="38">
        <f t="shared" si="24"/>
        <v>11.712</v>
      </c>
      <c r="U22" s="38">
        <f t="shared" si="25"/>
        <v>6.16</v>
      </c>
      <c r="V22" s="38">
        <f t="shared" si="26"/>
        <v>10.152629334610651</v>
      </c>
      <c r="W22" s="38">
        <f t="shared" si="27"/>
        <v>-3.9926293346106512</v>
      </c>
      <c r="X22" s="27">
        <f t="shared" si="6"/>
        <v>1</v>
      </c>
      <c r="Y22" s="38"/>
      <c r="Z22" s="38"/>
      <c r="AA22" s="27"/>
      <c r="AB22" s="38">
        <v>9</v>
      </c>
      <c r="AC22" s="38">
        <f t="shared" si="8"/>
        <v>8.2674190267315577</v>
      </c>
      <c r="AD22" s="38">
        <f t="shared" si="9"/>
        <v>6.8173943046080634</v>
      </c>
      <c r="AE22" s="38">
        <f t="shared" si="10"/>
        <v>9.717443748855052</v>
      </c>
      <c r="AF22" s="38">
        <f t="shared" si="11"/>
        <v>8.3658844539918622</v>
      </c>
      <c r="AG22" s="27"/>
      <c r="AH22" s="27"/>
      <c r="AI22" s="27"/>
      <c r="AJ22" s="27"/>
      <c r="AK22" s="27"/>
      <c r="AL22" s="27"/>
      <c r="AM22" s="27"/>
      <c r="AN22" s="27"/>
    </row>
    <row r="23" spans="1:40" ht="14.25" customHeight="1" x14ac:dyDescent="0.45">
      <c r="A23" s="26"/>
      <c r="B23" s="27"/>
      <c r="C23" s="27"/>
      <c r="D23" s="28"/>
      <c r="E23" s="29"/>
      <c r="F23" s="94"/>
      <c r="G23" s="95"/>
      <c r="H23" s="61"/>
      <c r="I23" s="27"/>
      <c r="J23" s="33" t="s">
        <v>51</v>
      </c>
      <c r="K23" s="32">
        <v>3</v>
      </c>
      <c r="L23" s="60"/>
      <c r="M23" s="37">
        <v>29.5</v>
      </c>
      <c r="N23" s="51">
        <v>29.6</v>
      </c>
      <c r="O23" s="37">
        <v>27.6</v>
      </c>
      <c r="P23" s="52">
        <v>30.73</v>
      </c>
      <c r="Q23" s="38">
        <v>9.59</v>
      </c>
      <c r="R23" s="38">
        <v>9.0169999999999995</v>
      </c>
      <c r="S23" s="51">
        <f t="shared" si="1"/>
        <v>8.3792520361594001</v>
      </c>
      <c r="T23" s="38">
        <f t="shared" si="24"/>
        <v>9.0169999999999995</v>
      </c>
      <c r="U23" s="38">
        <f t="shared" si="25"/>
        <v>9.59</v>
      </c>
      <c r="V23" s="38">
        <f t="shared" si="26"/>
        <v>8.2792363479830122</v>
      </c>
      <c r="W23" s="38">
        <f t="shared" si="27"/>
        <v>1.3107636520169876</v>
      </c>
      <c r="X23" s="27">
        <f t="shared" si="6"/>
        <v>0</v>
      </c>
      <c r="Y23" s="38">
        <f t="shared" ref="Y23:Z23" si="31">IF($X23=0,T23,"")</f>
        <v>9.0169999999999995</v>
      </c>
      <c r="Z23" s="38">
        <f t="shared" si="31"/>
        <v>9.59</v>
      </c>
      <c r="AA23" s="27"/>
      <c r="AB23" s="38">
        <v>9.5</v>
      </c>
      <c r="AC23" s="38">
        <f t="shared" si="8"/>
        <v>8.6149872988331602</v>
      </c>
      <c r="AD23" s="38">
        <f t="shared" si="9"/>
        <v>7.1649625767096659</v>
      </c>
      <c r="AE23" s="38">
        <f t="shared" si="10"/>
        <v>10.065012020956654</v>
      </c>
      <c r="AF23" s="38">
        <f t="shared" si="11"/>
        <v>8.7590486353900801</v>
      </c>
      <c r="AG23" s="27"/>
      <c r="AH23" s="27"/>
      <c r="AI23" s="27"/>
      <c r="AJ23" s="27"/>
      <c r="AK23" s="27"/>
      <c r="AL23" s="27"/>
      <c r="AM23" s="27"/>
      <c r="AN23" s="27"/>
    </row>
    <row r="24" spans="1:40" ht="14.25" customHeight="1" x14ac:dyDescent="0.45">
      <c r="A24" s="26"/>
      <c r="B24" s="27"/>
      <c r="C24" s="27"/>
      <c r="D24" s="28"/>
      <c r="E24" s="29"/>
      <c r="F24" s="94"/>
      <c r="G24" s="95"/>
      <c r="H24" s="61"/>
      <c r="I24" s="27"/>
      <c r="J24" s="33" t="s">
        <v>52</v>
      </c>
      <c r="K24" s="32">
        <v>6</v>
      </c>
      <c r="L24" s="60"/>
      <c r="M24" s="37">
        <v>29.5</v>
      </c>
      <c r="N24" s="51">
        <v>29.46</v>
      </c>
      <c r="O24" s="37">
        <v>28</v>
      </c>
      <c r="P24" s="52">
        <v>31.39</v>
      </c>
      <c r="Q24" s="38">
        <v>6.36</v>
      </c>
      <c r="R24" s="38">
        <v>5.431</v>
      </c>
      <c r="S24" s="51">
        <f t="shared" si="1"/>
        <v>5.5594785271713834</v>
      </c>
      <c r="T24" s="38">
        <f t="shared" si="24"/>
        <v>5.431</v>
      </c>
      <c r="U24" s="38">
        <f t="shared" si="25"/>
        <v>6.36</v>
      </c>
      <c r="V24" s="38">
        <f t="shared" si="26"/>
        <v>5.7864767004703186</v>
      </c>
      <c r="W24" s="38">
        <f t="shared" si="27"/>
        <v>0.57352329952968173</v>
      </c>
      <c r="X24" s="27">
        <f t="shared" si="6"/>
        <v>0</v>
      </c>
      <c r="Y24" s="38">
        <f t="shared" ref="Y24:Z24" si="32">IF($X24=0,T24,"")</f>
        <v>5.431</v>
      </c>
      <c r="Z24" s="38">
        <f t="shared" si="32"/>
        <v>6.36</v>
      </c>
      <c r="AA24" s="27"/>
      <c r="AB24" s="38">
        <v>10</v>
      </c>
      <c r="AC24" s="38">
        <f t="shared" si="8"/>
        <v>8.9625555709347644</v>
      </c>
      <c r="AD24" s="38">
        <f t="shared" si="9"/>
        <v>7.5125308488112701</v>
      </c>
      <c r="AE24" s="38">
        <f t="shared" si="10"/>
        <v>10.412580293058259</v>
      </c>
      <c r="AF24" s="38">
        <f t="shared" si="11"/>
        <v>9.1522128167882979</v>
      </c>
      <c r="AG24" s="27"/>
      <c r="AH24" s="27"/>
      <c r="AI24" s="27"/>
      <c r="AJ24" s="27"/>
      <c r="AK24" s="27"/>
      <c r="AL24" s="27"/>
      <c r="AM24" s="27"/>
      <c r="AN24" s="27"/>
    </row>
    <row r="25" spans="1:40" ht="14.25" customHeight="1" x14ac:dyDescent="0.45">
      <c r="A25" s="26">
        <v>2024</v>
      </c>
      <c r="B25" s="27">
        <v>11</v>
      </c>
      <c r="C25" s="27">
        <v>26</v>
      </c>
      <c r="D25" s="28">
        <v>0.75694444444444442</v>
      </c>
      <c r="E25" s="29">
        <v>56</v>
      </c>
      <c r="F25" s="94" t="s">
        <v>116</v>
      </c>
      <c r="G25" s="95" t="s">
        <v>117</v>
      </c>
      <c r="H25" s="61">
        <v>5</v>
      </c>
      <c r="I25" s="27">
        <v>3</v>
      </c>
      <c r="J25" s="33" t="s">
        <v>47</v>
      </c>
      <c r="K25" s="32">
        <v>1</v>
      </c>
      <c r="L25" s="60"/>
      <c r="M25" s="37">
        <v>29.3</v>
      </c>
      <c r="N25" s="51">
        <v>29.41</v>
      </c>
      <c r="O25" s="37">
        <v>22.4</v>
      </c>
      <c r="P25" s="52">
        <v>29.91</v>
      </c>
      <c r="Q25" s="38">
        <v>8.2200000000000006</v>
      </c>
      <c r="R25" s="38">
        <v>9.9309999999999992</v>
      </c>
      <c r="S25" s="51">
        <f t="shared" si="1"/>
        <v>9.0979561597553431</v>
      </c>
      <c r="T25" s="38">
        <f t="shared" si="24"/>
        <v>9.9309999999999992</v>
      </c>
      <c r="U25" s="38">
        <f t="shared" si="25"/>
        <v>8.2200000000000006</v>
      </c>
      <c r="V25" s="38">
        <f t="shared" si="26"/>
        <v>8.9145911493847407</v>
      </c>
      <c r="W25" s="38">
        <f t="shared" si="27"/>
        <v>-0.69459114938474009</v>
      </c>
      <c r="X25" s="27">
        <f t="shared" si="6"/>
        <v>0</v>
      </c>
      <c r="Y25" s="38">
        <f t="shared" ref="Y25:Z25" si="33">IF($X25=0,T25,"")</f>
        <v>9.9309999999999992</v>
      </c>
      <c r="Z25" s="38">
        <f t="shared" si="33"/>
        <v>8.2200000000000006</v>
      </c>
      <c r="AA25" s="27"/>
      <c r="AB25" s="38">
        <v>10.5</v>
      </c>
      <c r="AC25" s="38">
        <f t="shared" si="8"/>
        <v>9.3101238430363651</v>
      </c>
      <c r="AD25" s="38">
        <f t="shared" si="9"/>
        <v>7.8600991209128708</v>
      </c>
      <c r="AE25" s="38">
        <f t="shared" si="10"/>
        <v>10.760148565159859</v>
      </c>
      <c r="AF25" s="38">
        <f t="shared" si="11"/>
        <v>9.5453769981865157</v>
      </c>
      <c r="AG25" s="27"/>
      <c r="AH25" s="27"/>
      <c r="AI25" s="27"/>
      <c r="AJ25" s="27"/>
      <c r="AK25" s="27"/>
      <c r="AL25" s="27"/>
      <c r="AM25" s="27"/>
      <c r="AN25" s="27"/>
    </row>
    <row r="26" spans="1:40" ht="14.25" customHeight="1" x14ac:dyDescent="0.45">
      <c r="A26" s="26"/>
      <c r="B26" s="27"/>
      <c r="C26" s="27"/>
      <c r="D26" s="28"/>
      <c r="E26" s="29"/>
      <c r="F26" s="94"/>
      <c r="G26" s="95"/>
      <c r="H26" s="61"/>
      <c r="I26" s="27"/>
      <c r="J26" s="33" t="s">
        <v>51</v>
      </c>
      <c r="K26" s="32">
        <v>2.5</v>
      </c>
      <c r="L26" s="60"/>
      <c r="M26" s="37">
        <v>29.3</v>
      </c>
      <c r="N26" s="51">
        <v>29.42</v>
      </c>
      <c r="O26" s="37">
        <v>23.8</v>
      </c>
      <c r="P26" s="52">
        <v>30.23</v>
      </c>
      <c r="Q26" s="38">
        <v>9.27</v>
      </c>
      <c r="R26" s="38">
        <v>8.6760000000000002</v>
      </c>
      <c r="S26" s="51">
        <f t="shared" si="1"/>
        <v>8.1111140644458182</v>
      </c>
      <c r="T26" s="38">
        <f t="shared" si="24"/>
        <v>8.6760000000000002</v>
      </c>
      <c r="U26" s="38">
        <f t="shared" si="25"/>
        <v>9.27</v>
      </c>
      <c r="V26" s="38">
        <f t="shared" si="26"/>
        <v>8.0421947864097199</v>
      </c>
      <c r="W26" s="38">
        <f t="shared" si="27"/>
        <v>1.2278052135902797</v>
      </c>
      <c r="X26" s="27">
        <f t="shared" si="6"/>
        <v>0</v>
      </c>
      <c r="Y26" s="38">
        <f t="shared" ref="Y26:Z26" si="34">IF($X26=0,T26,"")</f>
        <v>8.6760000000000002</v>
      </c>
      <c r="Z26" s="38">
        <f t="shared" si="34"/>
        <v>9.27</v>
      </c>
      <c r="AA26" s="27"/>
      <c r="AB26" s="38">
        <v>11</v>
      </c>
      <c r="AC26" s="38">
        <f t="shared" si="8"/>
        <v>9.6576921151379693</v>
      </c>
      <c r="AD26" s="38">
        <f t="shared" si="9"/>
        <v>8.207667393014475</v>
      </c>
      <c r="AE26" s="38">
        <f t="shared" si="10"/>
        <v>11.107716837261464</v>
      </c>
      <c r="AF26" s="38">
        <f t="shared" si="11"/>
        <v>9.9385411795847354</v>
      </c>
      <c r="AG26" s="27"/>
      <c r="AH26" s="27"/>
      <c r="AI26" s="27"/>
      <c r="AJ26" s="27"/>
      <c r="AK26" s="27"/>
      <c r="AL26" s="27"/>
      <c r="AM26" s="27"/>
      <c r="AN26" s="27"/>
    </row>
    <row r="27" spans="1:40" ht="14.25" customHeight="1" x14ac:dyDescent="0.45">
      <c r="A27" s="26"/>
      <c r="B27" s="27"/>
      <c r="C27" s="27"/>
      <c r="D27" s="28"/>
      <c r="E27" s="29"/>
      <c r="F27" s="94"/>
      <c r="G27" s="95"/>
      <c r="H27" s="61"/>
      <c r="I27" s="27"/>
      <c r="J27" s="33" t="s">
        <v>52</v>
      </c>
      <c r="K27" s="32">
        <v>4</v>
      </c>
      <c r="L27" s="60"/>
      <c r="M27" s="37">
        <v>29.3</v>
      </c>
      <c r="N27" s="51">
        <v>29.42</v>
      </c>
      <c r="O27" s="37">
        <v>23.4</v>
      </c>
      <c r="P27" s="52">
        <v>30.74</v>
      </c>
      <c r="Q27" s="38">
        <v>8.01</v>
      </c>
      <c r="R27" s="38">
        <v>5.2009999999999996</v>
      </c>
      <c r="S27" s="51">
        <f t="shared" si="1"/>
        <v>5.3786230037282028</v>
      </c>
      <c r="T27" s="38">
        <f t="shared" si="24"/>
        <v>5.2009999999999996</v>
      </c>
      <c r="U27" s="38">
        <f t="shared" si="25"/>
        <v>8.01</v>
      </c>
      <c r="V27" s="38">
        <f t="shared" si="26"/>
        <v>5.6265952953035807</v>
      </c>
      <c r="W27" s="38">
        <f t="shared" si="27"/>
        <v>2.3834047046964191</v>
      </c>
      <c r="X27" s="27">
        <f t="shared" si="6"/>
        <v>1</v>
      </c>
      <c r="Y27" s="38"/>
      <c r="Z27" s="38"/>
      <c r="AA27" s="27"/>
      <c r="AB27" s="38">
        <v>11.5</v>
      </c>
      <c r="AC27" s="38">
        <f t="shared" si="8"/>
        <v>10.00526038723957</v>
      </c>
      <c r="AD27" s="38">
        <f t="shared" si="9"/>
        <v>8.5552356651160757</v>
      </c>
      <c r="AE27" s="38">
        <f t="shared" si="10"/>
        <v>11.455285109363064</v>
      </c>
      <c r="AF27" s="38">
        <f t="shared" si="11"/>
        <v>10.331705360982951</v>
      </c>
      <c r="AG27" s="27"/>
      <c r="AH27" s="27"/>
      <c r="AI27" s="27"/>
      <c r="AJ27" s="27"/>
      <c r="AK27" s="27"/>
      <c r="AL27" s="27"/>
      <c r="AM27" s="27"/>
      <c r="AN27" s="27"/>
    </row>
    <row r="28" spans="1:40" ht="14.25" customHeight="1" x14ac:dyDescent="0.45">
      <c r="A28" s="26">
        <v>2024</v>
      </c>
      <c r="B28" s="54">
        <v>11</v>
      </c>
      <c r="C28" s="27">
        <v>27</v>
      </c>
      <c r="D28" s="28">
        <v>0.29166666666666669</v>
      </c>
      <c r="E28" s="29">
        <v>57</v>
      </c>
      <c r="F28" s="94" t="s">
        <v>118</v>
      </c>
      <c r="G28" s="95" t="s">
        <v>119</v>
      </c>
      <c r="H28" s="61">
        <v>6.5</v>
      </c>
      <c r="I28" s="27">
        <v>3</v>
      </c>
      <c r="J28" s="33" t="s">
        <v>47</v>
      </c>
      <c r="K28" s="32">
        <v>1</v>
      </c>
      <c r="L28" s="60">
        <v>0.7</v>
      </c>
      <c r="M28" s="37">
        <v>28.7</v>
      </c>
      <c r="N28" s="51">
        <v>29</v>
      </c>
      <c r="O28" s="37">
        <v>20</v>
      </c>
      <c r="P28" s="52">
        <v>20.29</v>
      </c>
      <c r="Q28" s="38">
        <v>4.1399999999999997</v>
      </c>
      <c r="R28" s="38">
        <v>4.4950000000000001</v>
      </c>
      <c r="S28" s="51">
        <f t="shared" si="1"/>
        <v>4.8234751795939186</v>
      </c>
      <c r="T28" s="38">
        <f t="shared" si="24"/>
        <v>4.4950000000000001</v>
      </c>
      <c r="U28" s="38">
        <f t="shared" si="25"/>
        <v>4.1399999999999997</v>
      </c>
      <c r="V28" s="38">
        <f t="shared" si="26"/>
        <v>5.1358288950961182</v>
      </c>
      <c r="W28" s="38">
        <f t="shared" si="27"/>
        <v>-0.99582889509611849</v>
      </c>
      <c r="X28" s="27">
        <f t="shared" si="6"/>
        <v>0</v>
      </c>
      <c r="Y28" s="38">
        <f t="shared" ref="Y28:Z28" si="35">IF($X28=0,T28,"")</f>
        <v>4.4950000000000001</v>
      </c>
      <c r="Z28" s="38">
        <f t="shared" si="35"/>
        <v>4.1399999999999997</v>
      </c>
      <c r="AA28" s="27"/>
      <c r="AB28" s="38">
        <v>12</v>
      </c>
      <c r="AC28" s="38">
        <f t="shared" si="8"/>
        <v>10.352828659341174</v>
      </c>
      <c r="AD28" s="38">
        <f t="shared" si="9"/>
        <v>8.9028039372176799</v>
      </c>
      <c r="AE28" s="38">
        <f t="shared" si="10"/>
        <v>11.802853381464669</v>
      </c>
      <c r="AF28" s="38">
        <f t="shared" si="11"/>
        <v>10.724869542381171</v>
      </c>
      <c r="AG28" s="27"/>
      <c r="AH28" s="27"/>
      <c r="AI28" s="27"/>
      <c r="AJ28" s="27"/>
      <c r="AK28" s="27"/>
      <c r="AL28" s="27"/>
      <c r="AM28" s="27"/>
      <c r="AN28" s="27"/>
    </row>
    <row r="29" spans="1:40" ht="14.25" customHeight="1" x14ac:dyDescent="0.45">
      <c r="A29" s="26"/>
      <c r="B29" s="27"/>
      <c r="C29" s="27"/>
      <c r="D29" s="28"/>
      <c r="E29" s="29"/>
      <c r="F29" s="94"/>
      <c r="G29" s="95"/>
      <c r="H29" s="61"/>
      <c r="I29" s="27"/>
      <c r="J29" s="33" t="s">
        <v>51</v>
      </c>
      <c r="K29" s="32">
        <v>3</v>
      </c>
      <c r="L29" s="60"/>
      <c r="M29" s="37">
        <v>28.8</v>
      </c>
      <c r="N29" s="51">
        <v>29.48</v>
      </c>
      <c r="O29" s="37">
        <v>23.6</v>
      </c>
      <c r="P29" s="52">
        <v>30.24</v>
      </c>
      <c r="Q29" s="38">
        <v>5.36</v>
      </c>
      <c r="R29" s="38">
        <v>4.2839999999999998</v>
      </c>
      <c r="S29" s="51">
        <f t="shared" si="1"/>
        <v>4.657559895043871</v>
      </c>
      <c r="T29" s="38">
        <f t="shared" si="24"/>
        <v>4.2839999999999998</v>
      </c>
      <c r="U29" s="38">
        <f t="shared" si="25"/>
        <v>5.36</v>
      </c>
      <c r="V29" s="38">
        <f t="shared" si="26"/>
        <v>4.9891550842692425</v>
      </c>
      <c r="W29" s="38">
        <f t="shared" si="27"/>
        <v>0.37084491573075784</v>
      </c>
      <c r="X29" s="27">
        <f t="shared" si="6"/>
        <v>0</v>
      </c>
      <c r="Y29" s="38">
        <f t="shared" ref="Y29:Z29" si="36">IF($X29=0,T29,"")</f>
        <v>4.2839999999999998</v>
      </c>
      <c r="Z29" s="38">
        <f t="shared" si="36"/>
        <v>5.36</v>
      </c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spans="1:40" ht="14.25" customHeight="1" x14ac:dyDescent="0.45">
      <c r="A30" s="26"/>
      <c r="B30" s="27"/>
      <c r="C30" s="27"/>
      <c r="D30" s="28"/>
      <c r="E30" s="29"/>
      <c r="F30" s="94"/>
      <c r="G30" s="95"/>
      <c r="H30" s="61"/>
      <c r="I30" s="27"/>
      <c r="J30" s="33" t="s">
        <v>52</v>
      </c>
      <c r="K30" s="32">
        <v>5</v>
      </c>
      <c r="L30" s="60"/>
      <c r="M30" s="37">
        <v>28.8</v>
      </c>
      <c r="N30" s="51">
        <v>29.53</v>
      </c>
      <c r="O30" s="37">
        <v>26.1</v>
      </c>
      <c r="P30" s="52">
        <v>30.38</v>
      </c>
      <c r="Q30" s="38">
        <v>5.59</v>
      </c>
      <c r="R30" s="38">
        <v>6.4669999999999996</v>
      </c>
      <c r="S30" s="51">
        <f t="shared" si="1"/>
        <v>6.3741147110284899</v>
      </c>
      <c r="T30" s="38">
        <f t="shared" si="24"/>
        <v>6.4669999999999996</v>
      </c>
      <c r="U30" s="38">
        <f t="shared" si="25"/>
        <v>5.59</v>
      </c>
      <c r="V30" s="38">
        <f t="shared" si="26"/>
        <v>6.5066381602648393</v>
      </c>
      <c r="W30" s="38">
        <f t="shared" si="27"/>
        <v>-0.91663816026483946</v>
      </c>
      <c r="X30" s="27">
        <f t="shared" si="6"/>
        <v>0</v>
      </c>
      <c r="Y30" s="38">
        <f t="shared" ref="Y30:Z30" si="37">IF($X30=0,T30,"")</f>
        <v>6.4669999999999996</v>
      </c>
      <c r="Z30" s="38">
        <f t="shared" si="37"/>
        <v>5.59</v>
      </c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spans="1:40" ht="14.25" customHeight="1" x14ac:dyDescent="0.45">
      <c r="A31" s="26">
        <v>2024</v>
      </c>
      <c r="B31" s="27">
        <v>11</v>
      </c>
      <c r="C31" s="27">
        <v>27</v>
      </c>
      <c r="D31" s="28">
        <v>0.38055555555555554</v>
      </c>
      <c r="E31" s="29" t="s">
        <v>57</v>
      </c>
      <c r="F31" s="94" t="s">
        <v>120</v>
      </c>
      <c r="G31" s="95" t="s">
        <v>121</v>
      </c>
      <c r="H31" s="61">
        <v>4.7</v>
      </c>
      <c r="I31" s="27">
        <v>2</v>
      </c>
      <c r="J31" s="33" t="s">
        <v>47</v>
      </c>
      <c r="K31" s="32">
        <v>1</v>
      </c>
      <c r="L31" s="60">
        <v>1.1000000000000001</v>
      </c>
      <c r="M31" s="37">
        <v>28.8</v>
      </c>
      <c r="N31" s="51">
        <v>29.03</v>
      </c>
      <c r="O31" s="37">
        <v>26.3</v>
      </c>
      <c r="P31" s="52">
        <v>28.81</v>
      </c>
      <c r="Q31" s="38"/>
      <c r="R31" s="38">
        <v>7.08</v>
      </c>
      <c r="S31" s="51">
        <f t="shared" si="1"/>
        <v>6.856133997422706</v>
      </c>
      <c r="T31" s="38"/>
      <c r="U31" s="38"/>
      <c r="V31" s="38"/>
      <c r="W31" s="38"/>
      <c r="X31" s="27">
        <f t="shared" si="6"/>
        <v>0</v>
      </c>
      <c r="Y31" s="38"/>
      <c r="Z31" s="38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spans="1:40" ht="14.25" customHeight="1" x14ac:dyDescent="0.45">
      <c r="A32" s="26"/>
      <c r="B32" s="27"/>
      <c r="C32" s="27"/>
      <c r="D32" s="28"/>
      <c r="E32" s="29"/>
      <c r="F32" s="94"/>
      <c r="G32" s="95"/>
      <c r="H32" s="61"/>
      <c r="I32" s="27"/>
      <c r="J32" s="33" t="s">
        <v>51</v>
      </c>
      <c r="K32" s="32"/>
      <c r="L32" s="60"/>
      <c r="M32" s="37"/>
      <c r="N32" s="51"/>
      <c r="O32" s="37"/>
      <c r="P32" s="52"/>
      <c r="Q32" s="38"/>
      <c r="R32" s="38"/>
      <c r="S32" s="51">
        <f t="shared" si="1"/>
        <v>1.28892918882394</v>
      </c>
      <c r="T32" s="38"/>
      <c r="U32" s="38"/>
      <c r="V32" s="38"/>
      <c r="W32" s="38"/>
      <c r="X32" s="27">
        <f t="shared" si="6"/>
        <v>0</v>
      </c>
      <c r="Y32" s="38"/>
      <c r="Z32" s="38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spans="1:40" ht="14.25" customHeight="1" x14ac:dyDescent="0.45">
      <c r="A33" s="26"/>
      <c r="B33" s="27"/>
      <c r="C33" s="27"/>
      <c r="D33" s="28"/>
      <c r="E33" s="29"/>
      <c r="F33" s="94"/>
      <c r="G33" s="95"/>
      <c r="H33" s="61"/>
      <c r="I33" s="27"/>
      <c r="J33" s="33" t="s">
        <v>52</v>
      </c>
      <c r="K33" s="32">
        <v>4</v>
      </c>
      <c r="L33" s="60"/>
      <c r="M33" s="37">
        <v>29.2</v>
      </c>
      <c r="N33" s="51">
        <v>29.55</v>
      </c>
      <c r="O33" s="37">
        <v>28.1</v>
      </c>
      <c r="P33" s="52">
        <v>31.33</v>
      </c>
      <c r="Q33" s="38"/>
      <c r="R33" s="38">
        <v>3.448</v>
      </c>
      <c r="S33" s="51">
        <f t="shared" si="1"/>
        <v>4.0001893837460507</v>
      </c>
      <c r="T33" s="38"/>
      <c r="U33" s="38"/>
      <c r="V33" s="38"/>
      <c r="W33" s="38"/>
      <c r="X33" s="27">
        <f t="shared" si="6"/>
        <v>0</v>
      </c>
      <c r="Y33" s="38"/>
      <c r="Z33" s="38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spans="1:40" ht="14.25" customHeight="1" x14ac:dyDescent="0.45">
      <c r="A34" s="26">
        <v>2024</v>
      </c>
      <c r="B34" s="27">
        <v>11</v>
      </c>
      <c r="C34" s="27">
        <v>27</v>
      </c>
      <c r="D34" s="28">
        <v>0.41666666666666669</v>
      </c>
      <c r="E34" s="29">
        <v>53</v>
      </c>
      <c r="F34" s="94" t="s">
        <v>122</v>
      </c>
      <c r="G34" s="95" t="s">
        <v>123</v>
      </c>
      <c r="H34" s="61">
        <v>10</v>
      </c>
      <c r="I34" s="27">
        <v>3</v>
      </c>
      <c r="J34" s="33" t="s">
        <v>47</v>
      </c>
      <c r="K34" s="32">
        <v>1</v>
      </c>
      <c r="L34" s="60">
        <v>2.6</v>
      </c>
      <c r="M34" s="37">
        <v>29.2</v>
      </c>
      <c r="N34" s="51">
        <v>29.13</v>
      </c>
      <c r="O34" s="37">
        <v>27.3</v>
      </c>
      <c r="P34" s="52">
        <v>29.81</v>
      </c>
      <c r="Q34" s="38">
        <v>6.33</v>
      </c>
      <c r="R34" s="38">
        <v>9.2059999999999995</v>
      </c>
      <c r="S34" s="51">
        <f t="shared" si="1"/>
        <v>8.5278680967279286</v>
      </c>
      <c r="T34" s="38">
        <f t="shared" ref="T34:T36" si="38">R34</f>
        <v>9.2059999999999995</v>
      </c>
      <c r="U34" s="38">
        <f t="shared" ref="U34:U36" si="39">Q34</f>
        <v>6.33</v>
      </c>
      <c r="V34" s="38">
        <f t="shared" ref="V34:V36" si="40">T34*$T$2+$U$2</f>
        <v>8.4106171548374178</v>
      </c>
      <c r="W34" s="38">
        <f t="shared" ref="W34:W36" si="41">U34-V34</f>
        <v>-2.0806171548374177</v>
      </c>
      <c r="X34" s="27">
        <f t="shared" si="6"/>
        <v>1</v>
      </c>
      <c r="Y34" s="38"/>
      <c r="Z34" s="38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spans="1:40" ht="14.25" customHeight="1" x14ac:dyDescent="0.45">
      <c r="A35" s="26"/>
      <c r="C35" s="27"/>
      <c r="D35" s="28"/>
      <c r="E35" s="29"/>
      <c r="F35" s="94"/>
      <c r="G35" s="95"/>
      <c r="H35" s="61"/>
      <c r="I35" s="27"/>
      <c r="J35" s="33" t="s">
        <v>51</v>
      </c>
      <c r="K35" s="32">
        <v>5</v>
      </c>
      <c r="L35" s="60"/>
      <c r="M35" s="37">
        <v>29.1</v>
      </c>
      <c r="N35" s="51">
        <v>29.41</v>
      </c>
      <c r="O35" s="37">
        <v>27.4</v>
      </c>
      <c r="P35" s="52">
        <v>31.36</v>
      </c>
      <c r="Q35" s="38">
        <v>7.17</v>
      </c>
      <c r="R35" s="38">
        <v>7.07</v>
      </c>
      <c r="S35" s="51">
        <f t="shared" si="1"/>
        <v>6.8482707137947418</v>
      </c>
      <c r="T35" s="38">
        <f t="shared" si="38"/>
        <v>7.07</v>
      </c>
      <c r="U35" s="38">
        <f t="shared" si="39"/>
        <v>7.17</v>
      </c>
      <c r="V35" s="38">
        <f t="shared" si="40"/>
        <v>6.9258054964193718</v>
      </c>
      <c r="W35" s="38">
        <f t="shared" si="41"/>
        <v>0.24419450358062811</v>
      </c>
      <c r="X35" s="27">
        <f t="shared" si="6"/>
        <v>0</v>
      </c>
      <c r="Y35" s="38">
        <f t="shared" ref="Y35:Z35" si="42">IF($X35=0,T35,"")</f>
        <v>7.07</v>
      </c>
      <c r="Z35" s="38">
        <f t="shared" si="42"/>
        <v>7.17</v>
      </c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spans="1:40" ht="14.25" customHeight="1" x14ac:dyDescent="0.45">
      <c r="A36" s="26"/>
      <c r="B36" s="27"/>
      <c r="C36" s="27"/>
      <c r="D36" s="28"/>
      <c r="E36" s="29"/>
      <c r="F36" s="94"/>
      <c r="G36" s="95"/>
      <c r="H36" s="61"/>
      <c r="I36" s="27"/>
      <c r="J36" s="33" t="s">
        <v>52</v>
      </c>
      <c r="K36" s="32">
        <v>9</v>
      </c>
      <c r="L36" s="60"/>
      <c r="M36" s="37">
        <v>29</v>
      </c>
      <c r="N36" s="51">
        <v>29.44</v>
      </c>
      <c r="O36" s="37">
        <v>28</v>
      </c>
      <c r="P36" s="52">
        <v>31.47</v>
      </c>
      <c r="Q36" s="38">
        <v>6.47</v>
      </c>
      <c r="R36" s="38">
        <v>6.5350000000000001</v>
      </c>
      <c r="S36" s="51">
        <f t="shared" si="1"/>
        <v>6.4275850396986485</v>
      </c>
      <c r="T36" s="38">
        <f t="shared" si="38"/>
        <v>6.5350000000000001</v>
      </c>
      <c r="U36" s="38">
        <f t="shared" si="39"/>
        <v>6.47</v>
      </c>
      <c r="V36" s="38">
        <f t="shared" si="40"/>
        <v>6.5539074452706574</v>
      </c>
      <c r="W36" s="38">
        <f t="shared" si="41"/>
        <v>-8.3907445270657632E-2</v>
      </c>
      <c r="X36" s="27">
        <f t="shared" si="6"/>
        <v>0</v>
      </c>
      <c r="Y36" s="38">
        <f t="shared" ref="Y36:Z36" si="43">IF($X36=0,T36,"")</f>
        <v>6.5350000000000001</v>
      </c>
      <c r="Z36" s="38">
        <f t="shared" si="43"/>
        <v>6.47</v>
      </c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 spans="1:40" ht="14.25" customHeight="1" x14ac:dyDescent="0.45">
      <c r="A37" s="26">
        <v>2024</v>
      </c>
      <c r="B37" s="27">
        <v>11</v>
      </c>
      <c r="C37" s="27">
        <v>27</v>
      </c>
      <c r="D37" s="28">
        <v>0.4513888888888889</v>
      </c>
      <c r="E37" s="29" t="s">
        <v>60</v>
      </c>
      <c r="F37" s="94" t="s">
        <v>124</v>
      </c>
      <c r="G37" s="95" t="s">
        <v>123</v>
      </c>
      <c r="H37" s="61">
        <v>11.4</v>
      </c>
      <c r="I37" s="27">
        <v>3</v>
      </c>
      <c r="J37" s="33" t="s">
        <v>47</v>
      </c>
      <c r="K37" s="32">
        <v>1</v>
      </c>
      <c r="L37" s="60">
        <v>2</v>
      </c>
      <c r="M37" s="37">
        <v>29</v>
      </c>
      <c r="N37" s="51">
        <v>29.34</v>
      </c>
      <c r="O37" s="37">
        <v>28.2</v>
      </c>
      <c r="P37" s="52">
        <v>30.79</v>
      </c>
      <c r="Q37" s="38"/>
      <c r="R37" s="38">
        <v>8.7080000000000002</v>
      </c>
      <c r="S37" s="51">
        <f t="shared" si="1"/>
        <v>8.1362765720553032</v>
      </c>
      <c r="T37" s="38"/>
      <c r="U37" s="38"/>
      <c r="V37" s="38"/>
      <c r="W37" s="38"/>
      <c r="X37" s="27">
        <f t="shared" si="6"/>
        <v>0</v>
      </c>
      <c r="Y37" s="38"/>
      <c r="Z37" s="38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 spans="1:40" ht="14.25" customHeight="1" x14ac:dyDescent="0.45">
      <c r="A38" s="26"/>
      <c r="B38" s="27"/>
      <c r="C38" s="27"/>
      <c r="D38" s="28"/>
      <c r="E38" s="29"/>
      <c r="F38" s="94"/>
      <c r="G38" s="95"/>
      <c r="H38" s="61"/>
      <c r="I38" s="27"/>
      <c r="J38" s="33" t="s">
        <v>51</v>
      </c>
      <c r="K38" s="32">
        <v>5</v>
      </c>
      <c r="L38" s="60"/>
      <c r="M38" s="37">
        <v>29</v>
      </c>
      <c r="N38" s="51">
        <v>29.35</v>
      </c>
      <c r="O38" s="37">
        <v>28.2</v>
      </c>
      <c r="P38" s="52">
        <v>30.9</v>
      </c>
      <c r="Q38" s="38"/>
      <c r="R38" s="38">
        <v>8.6010000000000009</v>
      </c>
      <c r="S38" s="51">
        <f t="shared" si="1"/>
        <v>8.0521394372360859</v>
      </c>
      <c r="T38" s="38"/>
      <c r="U38" s="38"/>
      <c r="V38" s="38"/>
      <c r="W38" s="38"/>
      <c r="X38" s="27">
        <f t="shared" si="6"/>
        <v>0</v>
      </c>
      <c r="Y38" s="38"/>
      <c r="Z38" s="38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</row>
    <row r="39" spans="1:40" ht="14.25" customHeight="1" x14ac:dyDescent="0.45">
      <c r="A39" s="26"/>
      <c r="B39" s="27"/>
      <c r="C39" s="27"/>
      <c r="D39" s="28"/>
      <c r="E39" s="29"/>
      <c r="F39" s="94"/>
      <c r="G39" s="95"/>
      <c r="H39" s="61"/>
      <c r="I39" s="27"/>
      <c r="J39" s="33" t="s">
        <v>52</v>
      </c>
      <c r="K39" s="32">
        <v>10</v>
      </c>
      <c r="L39" s="60"/>
      <c r="M39" s="37">
        <v>29.2</v>
      </c>
      <c r="N39" s="51">
        <v>29.53</v>
      </c>
      <c r="O39" s="37">
        <v>28.2</v>
      </c>
      <c r="P39" s="52">
        <v>31.47</v>
      </c>
      <c r="Q39" s="38"/>
      <c r="R39" s="38">
        <v>5.9880000000000004</v>
      </c>
      <c r="S39" s="51">
        <f t="shared" si="1"/>
        <v>5.9974634252489976</v>
      </c>
      <c r="T39" s="38"/>
      <c r="U39" s="38"/>
      <c r="V39" s="38"/>
      <c r="W39" s="38"/>
      <c r="X39" s="27">
        <f t="shared" si="6"/>
        <v>0</v>
      </c>
      <c r="Y39" s="38"/>
      <c r="Z39" s="38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spans="1:40" ht="14.25" customHeight="1" x14ac:dyDescent="0.45">
      <c r="A40" s="26">
        <v>2024</v>
      </c>
      <c r="B40" s="27">
        <v>11</v>
      </c>
      <c r="C40" s="27">
        <v>27</v>
      </c>
      <c r="D40" s="28">
        <v>0.47916666666666669</v>
      </c>
      <c r="E40" s="29">
        <v>40</v>
      </c>
      <c r="F40" s="94" t="s">
        <v>125</v>
      </c>
      <c r="G40" s="95" t="s">
        <v>126</v>
      </c>
      <c r="H40" s="61">
        <v>10.199999999999999</v>
      </c>
      <c r="I40" s="27">
        <v>3</v>
      </c>
      <c r="J40" s="33" t="s">
        <v>47</v>
      </c>
      <c r="K40" s="32">
        <v>1</v>
      </c>
      <c r="L40" s="60">
        <v>2.2999999999999998</v>
      </c>
      <c r="M40" s="37">
        <v>29.2</v>
      </c>
      <c r="N40" s="51">
        <v>29.49</v>
      </c>
      <c r="O40" s="37">
        <v>28.2</v>
      </c>
      <c r="P40" s="52">
        <v>31.08</v>
      </c>
      <c r="Q40" s="38">
        <v>7.68</v>
      </c>
      <c r="R40" s="38">
        <v>8.4459999999999997</v>
      </c>
      <c r="S40" s="51">
        <f t="shared" si="1"/>
        <v>7.9302585410026367</v>
      </c>
      <c r="T40" s="38">
        <f t="shared" ref="T40:T42" si="44">R40</f>
        <v>8.4459999999999997</v>
      </c>
      <c r="U40" s="38">
        <f t="shared" ref="U40:U42" si="45">Q40</f>
        <v>7.68</v>
      </c>
      <c r="V40" s="38">
        <f t="shared" ref="V40:V42" si="46">T40*$T$2+$U$2</f>
        <v>7.882313381242982</v>
      </c>
      <c r="W40" s="38">
        <f t="shared" ref="W40:W42" si="47">U40-V40</f>
        <v>-0.20231338124298226</v>
      </c>
      <c r="X40" s="27">
        <f t="shared" si="6"/>
        <v>0</v>
      </c>
      <c r="Y40" s="38">
        <f t="shared" ref="Y40:Z40" si="48">IF($X40=0,T40,"")</f>
        <v>8.4459999999999997</v>
      </c>
      <c r="Z40" s="38">
        <f t="shared" si="48"/>
        <v>7.68</v>
      </c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spans="1:40" ht="14.25" customHeight="1" x14ac:dyDescent="0.45">
      <c r="A41" s="26"/>
      <c r="B41" s="27"/>
      <c r="C41" s="27"/>
      <c r="D41" s="28"/>
      <c r="E41" s="29"/>
      <c r="F41" s="94"/>
      <c r="G41" s="95"/>
      <c r="H41" s="61"/>
      <c r="I41" s="27"/>
      <c r="J41" s="33" t="s">
        <v>51</v>
      </c>
      <c r="K41" s="32">
        <v>5</v>
      </c>
      <c r="L41" s="60"/>
      <c r="M41" s="37">
        <v>29.3</v>
      </c>
      <c r="N41" s="51">
        <v>29.44</v>
      </c>
      <c r="O41" s="37">
        <v>28.2</v>
      </c>
      <c r="P41" s="52">
        <v>31.12</v>
      </c>
      <c r="Q41" s="38">
        <v>7.53</v>
      </c>
      <c r="R41" s="38">
        <v>8.2739999999999991</v>
      </c>
      <c r="S41" s="51">
        <f t="shared" si="1"/>
        <v>7.7950100626016496</v>
      </c>
      <c r="T41" s="38">
        <f t="shared" si="44"/>
        <v>8.2739999999999991</v>
      </c>
      <c r="U41" s="38">
        <f t="shared" si="45"/>
        <v>7.53</v>
      </c>
      <c r="V41" s="38">
        <f t="shared" si="46"/>
        <v>7.76274989564003</v>
      </c>
      <c r="W41" s="38">
        <f t="shared" si="47"/>
        <v>-0.23274989564002979</v>
      </c>
      <c r="X41" s="27">
        <f t="shared" si="6"/>
        <v>0</v>
      </c>
      <c r="Y41" s="38">
        <f t="shared" ref="Y41:Z41" si="49">IF($X41=0,T41,"")</f>
        <v>8.2739999999999991</v>
      </c>
      <c r="Z41" s="38">
        <f t="shared" si="49"/>
        <v>7.53</v>
      </c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 spans="1:40" ht="14.25" customHeight="1" x14ac:dyDescent="0.45">
      <c r="A42" s="26"/>
      <c r="C42" s="27"/>
      <c r="D42" s="28"/>
      <c r="E42" s="29"/>
      <c r="F42" s="94"/>
      <c r="G42" s="95"/>
      <c r="H42" s="61"/>
      <c r="I42" s="27"/>
      <c r="J42" s="33" t="s">
        <v>52</v>
      </c>
      <c r="K42" s="32">
        <v>9</v>
      </c>
      <c r="L42" s="60"/>
      <c r="M42" s="37">
        <v>29.2</v>
      </c>
      <c r="N42" s="51">
        <v>259.49</v>
      </c>
      <c r="O42" s="37">
        <v>28.5</v>
      </c>
      <c r="P42" s="52">
        <v>31.3</v>
      </c>
      <c r="Q42" s="38">
        <v>6.92</v>
      </c>
      <c r="R42" s="38">
        <v>6.5919999999999996</v>
      </c>
      <c r="S42" s="51">
        <f t="shared" si="1"/>
        <v>6.4724057563780448</v>
      </c>
      <c r="T42" s="38">
        <f t="shared" si="44"/>
        <v>6.5919999999999996</v>
      </c>
      <c r="U42" s="38">
        <f t="shared" si="45"/>
        <v>6.92</v>
      </c>
      <c r="V42" s="38">
        <f t="shared" si="46"/>
        <v>6.5935302282902395</v>
      </c>
      <c r="W42" s="38">
        <f t="shared" si="47"/>
        <v>0.32646977170976044</v>
      </c>
      <c r="X42" s="27">
        <f t="shared" si="6"/>
        <v>0</v>
      </c>
      <c r="Y42" s="38">
        <f t="shared" ref="Y42:Z42" si="50">IF($X42=0,T42,"")</f>
        <v>6.5919999999999996</v>
      </c>
      <c r="Z42" s="38">
        <f t="shared" si="50"/>
        <v>6.92</v>
      </c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spans="1:40" ht="14.25" customHeight="1" x14ac:dyDescent="0.45">
      <c r="A43" s="26">
        <v>2024</v>
      </c>
      <c r="B43" s="54">
        <v>11</v>
      </c>
      <c r="C43" s="27">
        <v>27</v>
      </c>
      <c r="D43" s="28">
        <v>0.50208333333333333</v>
      </c>
      <c r="E43" s="29">
        <v>41</v>
      </c>
      <c r="F43" s="94" t="s">
        <v>127</v>
      </c>
      <c r="G43" s="95" t="s">
        <v>128</v>
      </c>
      <c r="H43" s="61">
        <v>16.5</v>
      </c>
      <c r="I43" s="27">
        <v>3</v>
      </c>
      <c r="J43" s="33" t="s">
        <v>47</v>
      </c>
      <c r="K43" s="32">
        <v>1</v>
      </c>
      <c r="L43" s="60">
        <v>2.8</v>
      </c>
      <c r="M43" s="37">
        <v>29.3</v>
      </c>
      <c r="N43" s="51">
        <v>29.69</v>
      </c>
      <c r="O43" s="37">
        <v>29</v>
      </c>
      <c r="P43" s="52">
        <v>31.66</v>
      </c>
      <c r="Q43" s="38"/>
      <c r="R43" s="38">
        <v>7.3220000000000001</v>
      </c>
      <c r="S43" s="51">
        <f t="shared" si="1"/>
        <v>7.0464254612194432</v>
      </c>
      <c r="T43" s="38"/>
      <c r="U43" s="38"/>
      <c r="V43" s="38"/>
      <c r="W43" s="38"/>
      <c r="X43" s="27">
        <f t="shared" si="6"/>
        <v>0</v>
      </c>
      <c r="Y43" s="38"/>
      <c r="Z43" s="38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spans="1:40" ht="14.25" customHeight="1" x14ac:dyDescent="0.45">
      <c r="A44" s="26"/>
      <c r="B44" s="27"/>
      <c r="C44" s="27"/>
      <c r="D44" s="28"/>
      <c r="E44" s="29"/>
      <c r="F44" s="94"/>
      <c r="G44" s="95"/>
      <c r="H44" s="61"/>
      <c r="I44" s="27"/>
      <c r="J44" s="33" t="s">
        <v>51</v>
      </c>
      <c r="K44" s="32">
        <v>8</v>
      </c>
      <c r="L44" s="60"/>
      <c r="M44" s="37">
        <v>29.4</v>
      </c>
      <c r="N44" s="51">
        <v>29.61</v>
      </c>
      <c r="O44" s="37">
        <v>29</v>
      </c>
      <c r="P44" s="52">
        <v>31.66</v>
      </c>
      <c r="Q44" s="38"/>
      <c r="R44" s="38">
        <v>7.0179999999999998</v>
      </c>
      <c r="S44" s="51">
        <f t="shared" si="1"/>
        <v>6.8073816389293267</v>
      </c>
      <c r="T44" s="38"/>
      <c r="U44" s="38"/>
      <c r="V44" s="38"/>
      <c r="W44" s="38"/>
      <c r="X44" s="27">
        <f t="shared" si="6"/>
        <v>0</v>
      </c>
      <c r="Y44" s="38"/>
      <c r="Z44" s="38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spans="1:40" ht="14.25" customHeight="1" x14ac:dyDescent="0.45">
      <c r="A45" s="26"/>
      <c r="B45" s="27"/>
      <c r="C45" s="27"/>
      <c r="D45" s="28"/>
      <c r="E45" s="29"/>
      <c r="F45" s="94"/>
      <c r="G45" s="95"/>
      <c r="H45" s="61"/>
      <c r="I45" s="27"/>
      <c r="J45" s="33" t="s">
        <v>52</v>
      </c>
      <c r="K45" s="32">
        <v>15</v>
      </c>
      <c r="L45" s="60"/>
      <c r="M45" s="37">
        <v>29.3</v>
      </c>
      <c r="N45" s="51">
        <v>29.57</v>
      </c>
      <c r="O45" s="37">
        <v>28.9</v>
      </c>
      <c r="P45" s="52">
        <v>31.67</v>
      </c>
      <c r="Q45" s="38"/>
      <c r="R45" s="38">
        <v>6.7619999999999996</v>
      </c>
      <c r="S45" s="51">
        <f t="shared" si="1"/>
        <v>6.6060815780534385</v>
      </c>
      <c r="T45" s="38"/>
      <c r="U45" s="38"/>
      <c r="V45" s="38"/>
      <c r="W45" s="38"/>
      <c r="X45" s="27">
        <f t="shared" si="6"/>
        <v>0</v>
      </c>
      <c r="Y45" s="38"/>
      <c r="Z45" s="38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spans="1:40" ht="14.25" customHeight="1" x14ac:dyDescent="0.45">
      <c r="A46" s="26">
        <v>2024</v>
      </c>
      <c r="B46" s="27">
        <v>11</v>
      </c>
      <c r="C46" s="27">
        <v>27</v>
      </c>
      <c r="D46" s="28">
        <v>0.53819444444444442</v>
      </c>
      <c r="E46" s="29">
        <v>42</v>
      </c>
      <c r="F46" s="94" t="s">
        <v>129</v>
      </c>
      <c r="G46" s="95" t="s">
        <v>130</v>
      </c>
      <c r="H46" s="61">
        <v>18.899999999999999</v>
      </c>
      <c r="I46" s="27">
        <v>3</v>
      </c>
      <c r="J46" s="33" t="s">
        <v>47</v>
      </c>
      <c r="K46" s="32">
        <v>1</v>
      </c>
      <c r="L46" s="60">
        <v>3.2</v>
      </c>
      <c r="M46" s="37">
        <v>29.7</v>
      </c>
      <c r="N46" s="51">
        <v>29.83</v>
      </c>
      <c r="O46" s="37">
        <v>28.8</v>
      </c>
      <c r="P46" s="52">
        <v>31.75</v>
      </c>
      <c r="Q46" s="38">
        <v>6.64</v>
      </c>
      <c r="R46" s="38">
        <v>7.0279999999999996</v>
      </c>
      <c r="S46" s="51">
        <f t="shared" si="1"/>
        <v>6.8152449225572909</v>
      </c>
      <c r="T46" s="38">
        <f t="shared" ref="T46:T48" si="51">R46</f>
        <v>7.0279999999999996</v>
      </c>
      <c r="U46" s="38">
        <f t="shared" ref="U46:U48" si="52">Q46</f>
        <v>6.64</v>
      </c>
      <c r="V46" s="38">
        <f t="shared" ref="V46:V48" si="53">T46*$T$2+$U$2</f>
        <v>6.8966097615628366</v>
      </c>
      <c r="W46" s="38">
        <f t="shared" ref="W46:W48" si="54">U46-V46</f>
        <v>-0.25660976156283688</v>
      </c>
      <c r="X46" s="27">
        <f t="shared" si="6"/>
        <v>0</v>
      </c>
      <c r="Y46" s="38">
        <f t="shared" ref="Y46:Z46" si="55">IF($X46=0,T46,"")</f>
        <v>7.0279999999999996</v>
      </c>
      <c r="Z46" s="38">
        <f t="shared" si="55"/>
        <v>6.64</v>
      </c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</row>
    <row r="47" spans="1:40" ht="14.25" customHeight="1" x14ac:dyDescent="0.45">
      <c r="A47" s="26"/>
      <c r="B47" s="27"/>
      <c r="C47" s="27"/>
      <c r="D47" s="28"/>
      <c r="E47" s="29"/>
      <c r="F47" s="94"/>
      <c r="G47" s="95"/>
      <c r="H47" s="61"/>
      <c r="I47" s="27"/>
      <c r="J47" s="33" t="s">
        <v>51</v>
      </c>
      <c r="K47" s="32">
        <v>9</v>
      </c>
      <c r="L47" s="60"/>
      <c r="M47" s="37">
        <v>29.4</v>
      </c>
      <c r="N47" s="51">
        <v>29.74</v>
      </c>
      <c r="O47" s="37">
        <v>28.8</v>
      </c>
      <c r="P47" s="52">
        <v>31.74</v>
      </c>
      <c r="Q47" s="38">
        <v>6.84</v>
      </c>
      <c r="R47" s="38">
        <v>6.9889999999999999</v>
      </c>
      <c r="S47" s="51">
        <f t="shared" si="1"/>
        <v>6.7845781164082295</v>
      </c>
      <c r="T47" s="38">
        <f t="shared" si="51"/>
        <v>6.9889999999999999</v>
      </c>
      <c r="U47" s="38">
        <f t="shared" si="52"/>
        <v>6.84</v>
      </c>
      <c r="V47" s="38">
        <f t="shared" si="53"/>
        <v>6.8694994363389119</v>
      </c>
      <c r="W47" s="38">
        <f t="shared" si="54"/>
        <v>-2.9499436338912055E-2</v>
      </c>
      <c r="X47" s="27">
        <f t="shared" si="6"/>
        <v>0</v>
      </c>
      <c r="Y47" s="38">
        <f t="shared" ref="Y47:Z47" si="56">IF($X47=0,T47,"")</f>
        <v>6.9889999999999999</v>
      </c>
      <c r="Z47" s="38">
        <f t="shared" si="56"/>
        <v>6.84</v>
      </c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spans="1:40" ht="14.25" customHeight="1" x14ac:dyDescent="0.45">
      <c r="A48" s="26"/>
      <c r="B48" s="27"/>
      <c r="C48" s="27"/>
      <c r="D48" s="28"/>
      <c r="E48" s="29"/>
      <c r="F48" s="94"/>
      <c r="G48" s="95"/>
      <c r="H48" s="61"/>
      <c r="I48" s="27"/>
      <c r="J48" s="33" t="s">
        <v>52</v>
      </c>
      <c r="K48" s="32">
        <v>17</v>
      </c>
      <c r="L48" s="60"/>
      <c r="M48" s="37">
        <v>29.3</v>
      </c>
      <c r="N48" s="51">
        <v>29.67</v>
      </c>
      <c r="O48" s="37">
        <v>28.9</v>
      </c>
      <c r="P48" s="52">
        <v>31.75</v>
      </c>
      <c r="Q48" s="38">
        <v>6.39</v>
      </c>
      <c r="R48" s="38">
        <v>6.806</v>
      </c>
      <c r="S48" s="51">
        <f t="shared" si="1"/>
        <v>6.640680026016482</v>
      </c>
      <c r="T48" s="38">
        <f t="shared" si="51"/>
        <v>6.806</v>
      </c>
      <c r="U48" s="38">
        <f t="shared" si="52"/>
        <v>6.39</v>
      </c>
      <c r="V48" s="38">
        <f t="shared" si="53"/>
        <v>6.7422894487497258</v>
      </c>
      <c r="W48" s="38">
        <f t="shared" si="54"/>
        <v>-0.35228944874972612</v>
      </c>
      <c r="X48" s="27">
        <f t="shared" si="6"/>
        <v>0</v>
      </c>
      <c r="Y48" s="38">
        <f t="shared" ref="Y48:Z48" si="57">IF($X48=0,T48,"")</f>
        <v>6.806</v>
      </c>
      <c r="Z48" s="38">
        <f t="shared" si="57"/>
        <v>6.39</v>
      </c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spans="1:40" ht="14.25" customHeight="1" x14ac:dyDescent="0.45">
      <c r="A49" s="26">
        <v>2024</v>
      </c>
      <c r="B49" s="54">
        <v>11</v>
      </c>
      <c r="C49" s="27">
        <v>27</v>
      </c>
      <c r="D49" s="28">
        <v>0.59027777777777779</v>
      </c>
      <c r="E49" s="29">
        <v>43</v>
      </c>
      <c r="F49" s="94" t="s">
        <v>131</v>
      </c>
      <c r="G49" s="95" t="s">
        <v>132</v>
      </c>
      <c r="H49" s="61">
        <v>18.399999999999999</v>
      </c>
      <c r="I49" s="27">
        <v>3</v>
      </c>
      <c r="J49" s="33" t="s">
        <v>47</v>
      </c>
      <c r="K49" s="32">
        <v>1</v>
      </c>
      <c r="L49" s="60">
        <v>2.6</v>
      </c>
      <c r="M49" s="37">
        <v>29.7</v>
      </c>
      <c r="N49" s="51">
        <v>29.95</v>
      </c>
      <c r="O49" s="37">
        <v>29</v>
      </c>
      <c r="P49" s="52">
        <v>31.76</v>
      </c>
      <c r="Q49" s="38"/>
      <c r="R49" s="38">
        <v>7.2380000000000004</v>
      </c>
      <c r="S49" s="51">
        <f t="shared" si="1"/>
        <v>6.9803738787445431</v>
      </c>
      <c r="T49" s="38"/>
      <c r="U49" s="38"/>
      <c r="V49" s="38"/>
      <c r="W49" s="38"/>
      <c r="X49" s="27">
        <f t="shared" si="6"/>
        <v>0</v>
      </c>
      <c r="Y49" s="38"/>
      <c r="Z49" s="38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spans="1:40" ht="14.25" customHeight="1" x14ac:dyDescent="0.45">
      <c r="A50" s="26"/>
      <c r="B50" s="27"/>
      <c r="C50" s="27"/>
      <c r="D50" s="28"/>
      <c r="E50" s="29"/>
      <c r="F50" s="94"/>
      <c r="G50" s="95"/>
      <c r="H50" s="61"/>
      <c r="I50" s="27"/>
      <c r="J50" s="33" t="s">
        <v>51</v>
      </c>
      <c r="K50" s="32">
        <v>9</v>
      </c>
      <c r="L50" s="60"/>
      <c r="M50" s="37">
        <v>29.7</v>
      </c>
      <c r="N50" s="51">
        <v>29.86</v>
      </c>
      <c r="O50" s="37">
        <v>29.1</v>
      </c>
      <c r="P50" s="52">
        <v>31.76</v>
      </c>
      <c r="Q50" s="38"/>
      <c r="R50" s="38">
        <v>7.0460000000000003</v>
      </c>
      <c r="S50" s="51">
        <f t="shared" si="1"/>
        <v>6.8293988330876267</v>
      </c>
      <c r="T50" s="38"/>
      <c r="U50" s="38"/>
      <c r="V50" s="38"/>
      <c r="W50" s="38"/>
      <c r="X50" s="27">
        <f t="shared" si="6"/>
        <v>0</v>
      </c>
      <c r="Y50" s="38"/>
      <c r="Z50" s="38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spans="1:40" ht="14.25" customHeight="1" x14ac:dyDescent="0.45">
      <c r="A51" s="26"/>
      <c r="B51" s="27"/>
      <c r="C51" s="27"/>
      <c r="D51" s="28"/>
      <c r="E51" s="29"/>
      <c r="F51" s="94"/>
      <c r="G51" s="95"/>
      <c r="H51" s="61"/>
      <c r="I51" s="27"/>
      <c r="J51" s="33" t="s">
        <v>52</v>
      </c>
      <c r="K51" s="32">
        <v>17</v>
      </c>
      <c r="L51" s="60"/>
      <c r="M51" s="37">
        <v>29.8</v>
      </c>
      <c r="N51" s="51">
        <v>29.79</v>
      </c>
      <c r="O51" s="37">
        <v>29.1</v>
      </c>
      <c r="P51" s="52">
        <v>31.77</v>
      </c>
      <c r="Q51" s="38"/>
      <c r="R51" s="38">
        <v>6.8410000000000002</v>
      </c>
      <c r="S51" s="51">
        <f t="shared" si="1"/>
        <v>6.6682015187143575</v>
      </c>
      <c r="T51" s="38"/>
      <c r="U51" s="38"/>
      <c r="V51" s="38"/>
      <c r="W51" s="38"/>
      <c r="X51" s="27">
        <f t="shared" si="6"/>
        <v>0</v>
      </c>
      <c r="Y51" s="38"/>
      <c r="Z51" s="38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</row>
    <row r="52" spans="1:40" ht="14.25" customHeight="1" x14ac:dyDescent="0.45">
      <c r="A52" s="26">
        <v>2024</v>
      </c>
      <c r="B52" s="27">
        <v>11</v>
      </c>
      <c r="C52" s="27">
        <v>27</v>
      </c>
      <c r="D52" s="28">
        <v>0.61805555555555558</v>
      </c>
      <c r="E52" s="29">
        <v>44</v>
      </c>
      <c r="F52" s="94" t="s">
        <v>133</v>
      </c>
      <c r="G52" s="95" t="s">
        <v>134</v>
      </c>
      <c r="H52" s="61">
        <v>21.4</v>
      </c>
      <c r="I52" s="27">
        <v>3</v>
      </c>
      <c r="J52" s="33" t="s">
        <v>47</v>
      </c>
      <c r="K52" s="32">
        <v>1</v>
      </c>
      <c r="L52" s="60">
        <v>4.7</v>
      </c>
      <c r="M52" s="37">
        <v>29.8</v>
      </c>
      <c r="N52" s="51">
        <v>29.93</v>
      </c>
      <c r="O52" s="37">
        <v>28.9</v>
      </c>
      <c r="P52" s="52">
        <v>31.73</v>
      </c>
      <c r="Q52" s="38">
        <v>6.48</v>
      </c>
      <c r="R52" s="38">
        <v>6.98</v>
      </c>
      <c r="S52" s="51">
        <f t="shared" si="1"/>
        <v>6.7775011611430624</v>
      </c>
      <c r="T52" s="38">
        <f t="shared" ref="T52:T54" si="58">R52</f>
        <v>6.98</v>
      </c>
      <c r="U52" s="38">
        <f t="shared" ref="U52:U54" si="59">Q52</f>
        <v>6.48</v>
      </c>
      <c r="V52" s="38">
        <f t="shared" ref="V52:V54" si="60">T52*$T$2+$U$2</f>
        <v>6.8632432074410836</v>
      </c>
      <c r="W52" s="38">
        <f t="shared" ref="W52:W54" si="61">U52-V52</f>
        <v>-0.3832432074410832</v>
      </c>
      <c r="X52" s="27">
        <f t="shared" si="6"/>
        <v>0</v>
      </c>
      <c r="Y52" s="38">
        <f t="shared" ref="Y52:Z52" si="62">IF($X52=0,T52,"")</f>
        <v>6.98</v>
      </c>
      <c r="Z52" s="38">
        <f t="shared" si="62"/>
        <v>6.48</v>
      </c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spans="1:40" ht="14.25" customHeight="1" x14ac:dyDescent="0.45">
      <c r="A53" s="26"/>
      <c r="B53" s="27"/>
      <c r="C53" s="27"/>
      <c r="D53" s="28"/>
      <c r="E53" s="29"/>
      <c r="F53" s="94"/>
      <c r="G53" s="95"/>
      <c r="H53" s="61"/>
      <c r="I53" s="27"/>
      <c r="J53" s="33" t="s">
        <v>51</v>
      </c>
      <c r="K53" s="32">
        <v>10</v>
      </c>
      <c r="L53" s="60"/>
      <c r="M53" s="37">
        <v>29.7</v>
      </c>
      <c r="N53" s="51">
        <v>29.85</v>
      </c>
      <c r="O53" s="37">
        <v>28.7</v>
      </c>
      <c r="P53" s="52">
        <v>31.73</v>
      </c>
      <c r="Q53" s="38">
        <v>6.33</v>
      </c>
      <c r="R53" s="38">
        <v>6.9690000000000003</v>
      </c>
      <c r="S53" s="51">
        <f t="shared" si="1"/>
        <v>6.7688515491523011</v>
      </c>
      <c r="T53" s="38">
        <f t="shared" si="58"/>
        <v>6.9690000000000003</v>
      </c>
      <c r="U53" s="38">
        <f t="shared" si="59"/>
        <v>6.33</v>
      </c>
      <c r="V53" s="38">
        <f t="shared" si="60"/>
        <v>6.8555967054548486</v>
      </c>
      <c r="W53" s="38">
        <f t="shared" si="61"/>
        <v>-0.52559670545484849</v>
      </c>
      <c r="X53" s="27">
        <f t="shared" si="6"/>
        <v>0</v>
      </c>
      <c r="Y53" s="38">
        <f t="shared" ref="Y53:Z53" si="63">IF($X53=0,T53,"")</f>
        <v>6.9690000000000003</v>
      </c>
      <c r="Z53" s="38">
        <f t="shared" si="63"/>
        <v>6.33</v>
      </c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spans="1:40" ht="14.25" customHeight="1" x14ac:dyDescent="0.45">
      <c r="A54" s="26"/>
      <c r="B54" s="27"/>
      <c r="C54" s="27"/>
      <c r="D54" s="56"/>
      <c r="E54" s="29"/>
      <c r="F54" s="94"/>
      <c r="G54" s="95"/>
      <c r="H54" s="61"/>
      <c r="I54" s="27"/>
      <c r="J54" s="33" t="s">
        <v>52</v>
      </c>
      <c r="K54" s="32">
        <v>20</v>
      </c>
      <c r="L54" s="60"/>
      <c r="M54" s="37">
        <v>29.5</v>
      </c>
      <c r="N54" s="51">
        <v>29.76</v>
      </c>
      <c r="O54" s="37">
        <v>28.9</v>
      </c>
      <c r="P54" s="52">
        <v>31.74</v>
      </c>
      <c r="Q54" s="38">
        <v>6.94</v>
      </c>
      <c r="R54" s="38">
        <v>6.7789999999999999</v>
      </c>
      <c r="S54" s="51">
        <f t="shared" si="1"/>
        <v>6.6194491602209782</v>
      </c>
      <c r="T54" s="38">
        <f t="shared" si="58"/>
        <v>6.7789999999999999</v>
      </c>
      <c r="U54" s="38">
        <f t="shared" si="59"/>
        <v>6.94</v>
      </c>
      <c r="V54" s="38">
        <f t="shared" si="60"/>
        <v>6.7235207620562392</v>
      </c>
      <c r="W54" s="38">
        <f t="shared" si="61"/>
        <v>0.21647923794376123</v>
      </c>
      <c r="X54" s="27">
        <f t="shared" si="6"/>
        <v>0</v>
      </c>
      <c r="Y54" s="38">
        <f t="shared" ref="Y54:Z54" si="64">IF($X54=0,T54,"")</f>
        <v>6.7789999999999999</v>
      </c>
      <c r="Z54" s="38">
        <f t="shared" si="64"/>
        <v>6.94</v>
      </c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spans="1:40" ht="14.25" customHeight="1" x14ac:dyDescent="0.45">
      <c r="A55" s="26">
        <v>2024</v>
      </c>
      <c r="B55" s="54">
        <v>11</v>
      </c>
      <c r="C55" s="27">
        <v>27</v>
      </c>
      <c r="D55" s="28">
        <v>0.70138888888888884</v>
      </c>
      <c r="E55" s="29">
        <v>49</v>
      </c>
      <c r="F55" s="94" t="s">
        <v>135</v>
      </c>
      <c r="G55" s="95" t="s">
        <v>136</v>
      </c>
      <c r="H55" s="61">
        <v>21.4</v>
      </c>
      <c r="I55" s="27">
        <v>3</v>
      </c>
      <c r="J55" s="33" t="s">
        <v>47</v>
      </c>
      <c r="K55" s="32">
        <v>1</v>
      </c>
      <c r="L55" s="60">
        <v>3</v>
      </c>
      <c r="M55" s="37">
        <v>29.6</v>
      </c>
      <c r="N55" s="51">
        <v>29.92</v>
      </c>
      <c r="O55" s="37">
        <v>28.9</v>
      </c>
      <c r="P55" s="52">
        <v>31.76</v>
      </c>
      <c r="Q55" s="38"/>
      <c r="R55" s="38">
        <v>7.64</v>
      </c>
      <c r="S55" s="51">
        <f t="shared" si="1"/>
        <v>7.2964778805887089</v>
      </c>
      <c r="T55" s="38"/>
      <c r="U55" s="38"/>
      <c r="V55" s="38"/>
      <c r="W55" s="38"/>
      <c r="X55" s="27">
        <f t="shared" si="6"/>
        <v>0</v>
      </c>
      <c r="Y55" s="38"/>
      <c r="Z55" s="38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</row>
    <row r="56" spans="1:40" ht="14.25" customHeight="1" x14ac:dyDescent="0.45">
      <c r="A56" s="26"/>
      <c r="C56" s="27"/>
      <c r="D56" s="28"/>
      <c r="E56" s="29"/>
      <c r="F56" s="94"/>
      <c r="G56" s="95"/>
      <c r="H56" s="61"/>
      <c r="I56" s="27"/>
      <c r="J56" s="33" t="s">
        <v>51</v>
      </c>
      <c r="K56" s="32">
        <v>10</v>
      </c>
      <c r="L56" s="60"/>
      <c r="M56" s="37">
        <v>29.5</v>
      </c>
      <c r="N56" s="51">
        <v>29.9</v>
      </c>
      <c r="O56" s="37">
        <v>28.7</v>
      </c>
      <c r="P56" s="52">
        <v>31.76</v>
      </c>
      <c r="Q56" s="38"/>
      <c r="R56" s="38">
        <v>7.2530000000000001</v>
      </c>
      <c r="S56" s="51">
        <f t="shared" si="1"/>
        <v>6.9921688041864893</v>
      </c>
      <c r="T56" s="38"/>
      <c r="U56" s="38"/>
      <c r="V56" s="38"/>
      <c r="W56" s="38"/>
      <c r="X56" s="27">
        <f t="shared" si="6"/>
        <v>0</v>
      </c>
      <c r="Y56" s="38"/>
      <c r="Z56" s="38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spans="1:40" ht="14.25" customHeight="1" x14ac:dyDescent="0.45">
      <c r="A57" s="26"/>
      <c r="B57" s="27"/>
      <c r="C57" s="27"/>
      <c r="D57" s="28"/>
      <c r="E57" s="29"/>
      <c r="F57" s="94"/>
      <c r="G57" s="95"/>
      <c r="H57" s="61"/>
      <c r="I57" s="27"/>
      <c r="J57" s="33" t="s">
        <v>52</v>
      </c>
      <c r="K57" s="32">
        <v>20</v>
      </c>
      <c r="L57" s="60"/>
      <c r="M57" s="37">
        <v>29.7</v>
      </c>
      <c r="N57" s="51">
        <v>29.88</v>
      </c>
      <c r="O57" s="37">
        <v>28.9</v>
      </c>
      <c r="P57" s="52">
        <v>31.76</v>
      </c>
      <c r="Q57" s="38"/>
      <c r="R57" s="38">
        <v>7.1669999999999998</v>
      </c>
      <c r="S57" s="51">
        <f t="shared" si="1"/>
        <v>6.9245445649859949</v>
      </c>
      <c r="T57" s="38"/>
      <c r="U57" s="38"/>
      <c r="V57" s="38"/>
      <c r="W57" s="38"/>
      <c r="X57" s="27">
        <f t="shared" si="6"/>
        <v>0</v>
      </c>
      <c r="Y57" s="38"/>
      <c r="Z57" s="38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spans="1:40" ht="14.25" customHeight="1" x14ac:dyDescent="0.45">
      <c r="A58" s="26">
        <v>2024</v>
      </c>
      <c r="B58" s="27">
        <v>11</v>
      </c>
      <c r="C58" s="27">
        <v>29</v>
      </c>
      <c r="D58" s="28">
        <v>0.4375</v>
      </c>
      <c r="E58" s="29">
        <v>39</v>
      </c>
      <c r="F58" s="94" t="s">
        <v>137</v>
      </c>
      <c r="G58" s="95" t="s">
        <v>138</v>
      </c>
      <c r="H58" s="61">
        <v>4.9000000000000004</v>
      </c>
      <c r="I58" s="27">
        <v>2</v>
      </c>
      <c r="J58" s="33" t="s">
        <v>47</v>
      </c>
      <c r="K58" s="32">
        <v>1</v>
      </c>
      <c r="L58" s="60">
        <v>1</v>
      </c>
      <c r="M58" s="37">
        <v>27.9</v>
      </c>
      <c r="N58" s="51">
        <v>28.74</v>
      </c>
      <c r="O58" s="37">
        <v>18.7</v>
      </c>
      <c r="P58" s="52">
        <v>20.21</v>
      </c>
      <c r="Q58" s="38">
        <v>4.6399999999999997</v>
      </c>
      <c r="R58" s="38">
        <v>4.867</v>
      </c>
      <c r="S58" s="51">
        <f t="shared" si="1"/>
        <v>5.1159893305541928</v>
      </c>
      <c r="T58" s="38">
        <f>R58</f>
        <v>4.867</v>
      </c>
      <c r="U58" s="38">
        <f>Q58</f>
        <v>4.6399999999999997</v>
      </c>
      <c r="V58" s="38">
        <f>T58*$T$2+$U$2</f>
        <v>5.3944196895397107</v>
      </c>
      <c r="W58" s="38">
        <f>U58-V58</f>
        <v>-0.75441968953971106</v>
      </c>
      <c r="X58" s="27">
        <f t="shared" si="6"/>
        <v>0</v>
      </c>
      <c r="Y58" s="38">
        <f t="shared" ref="Y58:Z58" si="65">IF($X58=0,T58,"")</f>
        <v>4.867</v>
      </c>
      <c r="Z58" s="38">
        <f t="shared" si="65"/>
        <v>4.6399999999999997</v>
      </c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spans="1:40" ht="14.25" customHeight="1" x14ac:dyDescent="0.45">
      <c r="A59" s="26"/>
      <c r="C59" s="27"/>
      <c r="D59" s="28"/>
      <c r="E59" s="29"/>
      <c r="F59" s="94"/>
      <c r="G59" s="95"/>
      <c r="H59" s="61"/>
      <c r="I59" s="27"/>
      <c r="J59" s="33" t="s">
        <v>51</v>
      </c>
      <c r="K59" s="32"/>
      <c r="L59" s="60"/>
      <c r="M59" s="37"/>
      <c r="N59" s="51"/>
      <c r="O59" s="37"/>
      <c r="P59" s="52"/>
      <c r="Q59" s="38"/>
      <c r="R59" s="38"/>
      <c r="S59" s="51">
        <f t="shared" si="1"/>
        <v>1.28892918882394</v>
      </c>
      <c r="T59" s="38"/>
      <c r="U59" s="38"/>
      <c r="V59" s="38"/>
      <c r="W59" s="38"/>
      <c r="X59" s="27">
        <f t="shared" si="6"/>
        <v>0</v>
      </c>
      <c r="Y59" s="38"/>
      <c r="Z59" s="38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spans="1:40" ht="14.25" customHeight="1" x14ac:dyDescent="0.45">
      <c r="A60" s="26"/>
      <c r="C60" s="27"/>
      <c r="D60" s="28"/>
      <c r="E60" s="29"/>
      <c r="F60" s="94"/>
      <c r="G60" s="95"/>
      <c r="H60" s="61"/>
      <c r="I60" s="27"/>
      <c r="J60" s="33" t="s">
        <v>52</v>
      </c>
      <c r="K60" s="32">
        <v>4</v>
      </c>
      <c r="L60" s="60"/>
      <c r="M60" s="37">
        <v>28.1</v>
      </c>
      <c r="N60" s="51">
        <v>27.87</v>
      </c>
      <c r="O60" s="37">
        <v>19.899999999999999</v>
      </c>
      <c r="P60" s="52">
        <v>29.2</v>
      </c>
      <c r="Q60" s="38">
        <v>4.8499999999999996</v>
      </c>
      <c r="R60" s="38">
        <v>5.4349999999999996</v>
      </c>
      <c r="S60" s="51">
        <f t="shared" si="1"/>
        <v>5.5626238406225683</v>
      </c>
      <c r="T60" s="38">
        <f t="shared" ref="T60:T61" si="66">R60</f>
        <v>5.4349999999999996</v>
      </c>
      <c r="U60" s="38">
        <f t="shared" ref="U60:U61" si="67">Q60</f>
        <v>4.8499999999999996</v>
      </c>
      <c r="V60" s="38">
        <f t="shared" ref="V60:V61" si="68">T60*$T$2+$U$2</f>
        <v>5.7892572466471313</v>
      </c>
      <c r="W60" s="38">
        <f t="shared" ref="W60:W61" si="69">U60-V60</f>
        <v>-0.93925724664713162</v>
      </c>
      <c r="X60" s="27">
        <f t="shared" si="6"/>
        <v>0</v>
      </c>
      <c r="Y60" s="38">
        <f t="shared" ref="Y60:Z60" si="70">IF($X60=0,T60,"")</f>
        <v>5.4349999999999996</v>
      </c>
      <c r="Z60" s="38">
        <f t="shared" si="70"/>
        <v>4.8499999999999996</v>
      </c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spans="1:40" ht="14.25" customHeight="1" x14ac:dyDescent="0.45">
      <c r="A61" s="26">
        <v>2024</v>
      </c>
      <c r="B61" s="27">
        <v>11</v>
      </c>
      <c r="C61" s="27">
        <v>29</v>
      </c>
      <c r="D61" s="28">
        <v>0.5</v>
      </c>
      <c r="E61" s="29">
        <v>38</v>
      </c>
      <c r="F61" s="94" t="s">
        <v>139</v>
      </c>
      <c r="G61" s="95" t="s">
        <v>140</v>
      </c>
      <c r="H61" s="61">
        <v>3.7</v>
      </c>
      <c r="I61" s="27">
        <v>2</v>
      </c>
      <c r="J61" s="33" t="s">
        <v>47</v>
      </c>
      <c r="K61" s="32">
        <v>1</v>
      </c>
      <c r="L61" s="60">
        <v>0.3</v>
      </c>
      <c r="M61" s="37">
        <v>27.3</v>
      </c>
      <c r="N61" s="51">
        <v>27.83</v>
      </c>
      <c r="O61" s="37">
        <v>18.7</v>
      </c>
      <c r="P61" s="52">
        <v>30.38</v>
      </c>
      <c r="Q61" s="38">
        <v>6.34</v>
      </c>
      <c r="R61" s="38">
        <v>7.0890000000000004</v>
      </c>
      <c r="S61" s="51">
        <f t="shared" si="1"/>
        <v>6.863210952687874</v>
      </c>
      <c r="T61" s="38">
        <f t="shared" si="66"/>
        <v>7.0890000000000004</v>
      </c>
      <c r="U61" s="38">
        <f t="shared" si="67"/>
        <v>6.34</v>
      </c>
      <c r="V61" s="38">
        <f t="shared" si="68"/>
        <v>6.9390130907592331</v>
      </c>
      <c r="W61" s="38">
        <f t="shared" si="69"/>
        <v>-0.59901309075923326</v>
      </c>
      <c r="X61" s="27">
        <f t="shared" si="6"/>
        <v>0</v>
      </c>
      <c r="Y61" s="38">
        <f t="shared" ref="Y61:Z61" si="71">IF($X61=0,T61,"")</f>
        <v>7.0890000000000004</v>
      </c>
      <c r="Z61" s="38">
        <f t="shared" si="71"/>
        <v>6.34</v>
      </c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spans="1:40" ht="14.25" customHeight="1" x14ac:dyDescent="0.45">
      <c r="A62" s="26"/>
      <c r="B62" s="27"/>
      <c r="C62" s="27"/>
      <c r="D62" s="28"/>
      <c r="E62" s="29"/>
      <c r="F62" s="94"/>
      <c r="G62" s="95"/>
      <c r="H62" s="61"/>
      <c r="I62" s="27"/>
      <c r="J62" s="33" t="s">
        <v>51</v>
      </c>
      <c r="K62" s="32"/>
      <c r="L62" s="60"/>
      <c r="M62" s="37"/>
      <c r="N62" s="51"/>
      <c r="O62" s="37"/>
      <c r="P62" s="52"/>
      <c r="Q62" s="38"/>
      <c r="R62" s="38"/>
      <c r="S62" s="51">
        <f t="shared" si="1"/>
        <v>1.28892918882394</v>
      </c>
      <c r="T62" s="38"/>
      <c r="U62" s="38"/>
      <c r="V62" s="38"/>
      <c r="W62" s="38"/>
      <c r="X62" s="27">
        <f t="shared" si="6"/>
        <v>0</v>
      </c>
      <c r="Y62" s="38"/>
      <c r="Z62" s="38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spans="1:40" ht="14.25" customHeight="1" x14ac:dyDescent="0.45">
      <c r="A63" s="26"/>
      <c r="C63" s="27"/>
      <c r="D63" s="28"/>
      <c r="E63" s="29"/>
      <c r="F63" s="94"/>
      <c r="G63" s="95"/>
      <c r="H63" s="61"/>
      <c r="I63" s="27"/>
      <c r="J63" s="33" t="s">
        <v>52</v>
      </c>
      <c r="K63" s="32">
        <v>2.5</v>
      </c>
      <c r="L63" s="60"/>
      <c r="M63" s="37">
        <v>27</v>
      </c>
      <c r="N63" s="51">
        <v>27.84</v>
      </c>
      <c r="O63" s="37">
        <v>19.899999999999999</v>
      </c>
      <c r="P63" s="52">
        <v>30.38</v>
      </c>
      <c r="Q63" s="38">
        <v>6.25</v>
      </c>
      <c r="R63" s="38">
        <v>6.73</v>
      </c>
      <c r="S63" s="51">
        <f t="shared" si="1"/>
        <v>6.5809190704439535</v>
      </c>
      <c r="T63" s="38">
        <f t="shared" ref="T63:T66" si="72">R63</f>
        <v>6.73</v>
      </c>
      <c r="U63" s="38">
        <f t="shared" ref="U63:U66" si="73">Q63</f>
        <v>6.25</v>
      </c>
      <c r="V63" s="38">
        <f t="shared" ref="V63:V66" si="74">T63*$T$2+$U$2</f>
        <v>6.6894590713902824</v>
      </c>
      <c r="W63" s="38">
        <f t="shared" ref="W63:W66" si="75">U63-V63</f>
        <v>-0.4394590713902824</v>
      </c>
      <c r="X63" s="27">
        <f t="shared" si="6"/>
        <v>0</v>
      </c>
      <c r="Y63" s="38">
        <f t="shared" ref="Y63:Z63" si="76">IF($X63=0,T63,"")</f>
        <v>6.73</v>
      </c>
      <c r="Z63" s="38">
        <f t="shared" si="76"/>
        <v>6.25</v>
      </c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spans="1:40" ht="14.25" customHeight="1" x14ac:dyDescent="0.45">
      <c r="A64" s="26">
        <v>2024</v>
      </c>
      <c r="B64" s="27">
        <v>11</v>
      </c>
      <c r="C64" s="27">
        <v>29</v>
      </c>
      <c r="D64" s="28">
        <v>0.52777777777777779</v>
      </c>
      <c r="E64" s="29">
        <v>37</v>
      </c>
      <c r="F64" s="94" t="s">
        <v>141</v>
      </c>
      <c r="G64" s="95" t="s">
        <v>142</v>
      </c>
      <c r="H64" s="61">
        <v>6.1</v>
      </c>
      <c r="I64" s="27">
        <v>3</v>
      </c>
      <c r="J64" s="33" t="s">
        <v>47</v>
      </c>
      <c r="K64" s="32">
        <v>1</v>
      </c>
      <c r="L64" s="60">
        <v>0.3</v>
      </c>
      <c r="M64" s="37">
        <v>28.2</v>
      </c>
      <c r="N64" s="51">
        <v>28.68</v>
      </c>
      <c r="O64" s="37">
        <v>28.5</v>
      </c>
      <c r="P64" s="52">
        <v>31.22</v>
      </c>
      <c r="Q64" s="38">
        <v>6.56</v>
      </c>
      <c r="R64" s="38">
        <v>6.5069999999999997</v>
      </c>
      <c r="S64" s="51">
        <f t="shared" si="1"/>
        <v>6.4055678455403475</v>
      </c>
      <c r="T64" s="38">
        <f t="shared" si="72"/>
        <v>6.5069999999999997</v>
      </c>
      <c r="U64" s="38">
        <f t="shared" si="73"/>
        <v>6.56</v>
      </c>
      <c r="V64" s="38">
        <f t="shared" si="74"/>
        <v>6.5344436220329669</v>
      </c>
      <c r="W64" s="38">
        <f t="shared" si="75"/>
        <v>2.5556377967032695E-2</v>
      </c>
      <c r="X64" s="27">
        <f t="shared" si="6"/>
        <v>0</v>
      </c>
      <c r="Y64" s="38">
        <f t="shared" ref="Y64:Z64" si="77">IF($X64=0,T64,"")</f>
        <v>6.5069999999999997</v>
      </c>
      <c r="Z64" s="38">
        <f t="shared" si="77"/>
        <v>6.56</v>
      </c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spans="1:40" ht="14.25" customHeight="1" x14ac:dyDescent="0.45">
      <c r="A65" s="26"/>
      <c r="B65" s="27"/>
      <c r="C65" s="27"/>
      <c r="D65" s="28"/>
      <c r="E65" s="29"/>
      <c r="F65" s="94"/>
      <c r="G65" s="95"/>
      <c r="H65" s="61"/>
      <c r="I65" s="27"/>
      <c r="J65" s="33" t="s">
        <v>51</v>
      </c>
      <c r="K65" s="32">
        <v>3</v>
      </c>
      <c r="L65" s="60"/>
      <c r="M65" s="37">
        <v>28.1</v>
      </c>
      <c r="N65" s="51">
        <v>28.69</v>
      </c>
      <c r="O65" s="37">
        <v>28.6</v>
      </c>
      <c r="P65" s="43">
        <v>31.22</v>
      </c>
      <c r="Q65" s="38">
        <v>5.93</v>
      </c>
      <c r="R65" s="38">
        <v>6.3339999999999996</v>
      </c>
      <c r="S65" s="51">
        <f t="shared" si="1"/>
        <v>6.2695330387765642</v>
      </c>
      <c r="T65" s="38">
        <f t="shared" si="72"/>
        <v>6.3339999999999996</v>
      </c>
      <c r="U65" s="38">
        <f t="shared" si="73"/>
        <v>5.93</v>
      </c>
      <c r="V65" s="38">
        <f t="shared" si="74"/>
        <v>6.4141849998858129</v>
      </c>
      <c r="W65" s="38">
        <f t="shared" si="75"/>
        <v>-0.48418499988581321</v>
      </c>
      <c r="X65" s="27">
        <f t="shared" si="6"/>
        <v>0</v>
      </c>
      <c r="Y65" s="38">
        <f t="shared" ref="Y65:Z65" si="78">IF($X65=0,T65,"")</f>
        <v>6.3339999999999996</v>
      </c>
      <c r="Z65" s="38">
        <f t="shared" si="78"/>
        <v>5.93</v>
      </c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spans="1:40" ht="14.25" customHeight="1" x14ac:dyDescent="0.45">
      <c r="A66" s="26"/>
      <c r="B66" s="27"/>
      <c r="C66" s="27"/>
      <c r="D66" s="28"/>
      <c r="E66" s="29"/>
      <c r="F66" s="94"/>
      <c r="G66" s="95"/>
      <c r="H66" s="61"/>
      <c r="I66" s="27"/>
      <c r="J66" s="33" t="s">
        <v>52</v>
      </c>
      <c r="K66" s="32">
        <v>5</v>
      </c>
      <c r="L66" s="60"/>
      <c r="M66" s="37">
        <v>28</v>
      </c>
      <c r="N66" s="51">
        <v>28.67</v>
      </c>
      <c r="O66" s="37">
        <v>28.6</v>
      </c>
      <c r="P66" s="52">
        <v>31.22</v>
      </c>
      <c r="Q66" s="38">
        <v>6.01</v>
      </c>
      <c r="R66" s="38">
        <v>6.266</v>
      </c>
      <c r="S66" s="51">
        <f t="shared" si="1"/>
        <v>6.2160627101064065</v>
      </c>
      <c r="T66" s="38">
        <f t="shared" si="72"/>
        <v>6.266</v>
      </c>
      <c r="U66" s="38">
        <f t="shared" si="73"/>
        <v>6.01</v>
      </c>
      <c r="V66" s="38">
        <f t="shared" si="74"/>
        <v>6.3669157148799949</v>
      </c>
      <c r="W66" s="38">
        <f t="shared" si="75"/>
        <v>-0.35691571487999507</v>
      </c>
      <c r="X66" s="27">
        <f t="shared" si="6"/>
        <v>0</v>
      </c>
      <c r="Y66" s="38">
        <f t="shared" ref="Y66:Z66" si="79">IF($X66=0,T66,"")</f>
        <v>6.266</v>
      </c>
      <c r="Z66" s="38">
        <f t="shared" si="79"/>
        <v>6.01</v>
      </c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spans="1:40" ht="14.25" customHeight="1" x14ac:dyDescent="0.45">
      <c r="A67" s="26">
        <v>2024</v>
      </c>
      <c r="B67" s="27">
        <v>11</v>
      </c>
      <c r="C67" s="27">
        <v>29</v>
      </c>
      <c r="D67" s="28">
        <v>0.56944444444444442</v>
      </c>
      <c r="E67" s="29">
        <v>36</v>
      </c>
      <c r="F67" s="94" t="s">
        <v>143</v>
      </c>
      <c r="G67" s="95" t="s">
        <v>144</v>
      </c>
      <c r="H67" s="61">
        <v>8.6999999999999993</v>
      </c>
      <c r="I67" s="27">
        <v>3</v>
      </c>
      <c r="J67" s="33" t="s">
        <v>47</v>
      </c>
      <c r="K67" s="32">
        <v>1</v>
      </c>
      <c r="L67" s="60">
        <v>0.6</v>
      </c>
      <c r="M67" s="37">
        <v>28.4</v>
      </c>
      <c r="N67" s="51">
        <v>28.92</v>
      </c>
      <c r="O67" s="37">
        <v>28.7</v>
      </c>
      <c r="P67" s="52">
        <v>31.51</v>
      </c>
      <c r="Q67" s="38"/>
      <c r="R67" s="38">
        <v>6.4219999999999997</v>
      </c>
      <c r="S67" s="51">
        <f t="shared" si="1"/>
        <v>6.3387299347026502</v>
      </c>
      <c r="T67" s="38"/>
      <c r="U67" s="38"/>
      <c r="V67" s="38"/>
      <c r="W67" s="38"/>
      <c r="X67" s="27">
        <f t="shared" si="6"/>
        <v>0</v>
      </c>
      <c r="Y67" s="38"/>
      <c r="Z67" s="38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spans="1:40" ht="14.25" customHeight="1" x14ac:dyDescent="0.45">
      <c r="A68" s="26"/>
      <c r="B68" s="27"/>
      <c r="C68" s="27"/>
      <c r="D68" s="28"/>
      <c r="E68" s="29"/>
      <c r="F68" s="94"/>
      <c r="G68" s="95"/>
      <c r="H68" s="61"/>
      <c r="I68" s="27"/>
      <c r="J68" s="33" t="s">
        <v>51</v>
      </c>
      <c r="K68" s="32">
        <v>4</v>
      </c>
      <c r="L68" s="60"/>
      <c r="M68" s="37">
        <v>28.5</v>
      </c>
      <c r="N68" s="51">
        <v>28.91</v>
      </c>
      <c r="O68" s="37">
        <v>28.8</v>
      </c>
      <c r="P68" s="52">
        <v>31.52</v>
      </c>
      <c r="Q68" s="38"/>
      <c r="R68" s="38">
        <v>6.3760000000000003</v>
      </c>
      <c r="S68" s="51">
        <f t="shared" si="1"/>
        <v>6.3025588300140152</v>
      </c>
      <c r="T68" s="38"/>
      <c r="U68" s="38"/>
      <c r="V68" s="38"/>
      <c r="W68" s="38"/>
      <c r="X68" s="27">
        <f t="shared" si="6"/>
        <v>0</v>
      </c>
      <c r="Y68" s="38"/>
      <c r="Z68" s="38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spans="1:40" ht="14.25" customHeight="1" x14ac:dyDescent="0.45">
      <c r="A69" s="26"/>
      <c r="B69" s="27"/>
      <c r="C69" s="27"/>
      <c r="D69" s="28"/>
      <c r="E69" s="29"/>
      <c r="F69" s="94"/>
      <c r="G69" s="95"/>
      <c r="H69" s="61"/>
      <c r="I69" s="27"/>
      <c r="J69" s="33" t="s">
        <v>52</v>
      </c>
      <c r="K69" s="32">
        <v>7</v>
      </c>
      <c r="L69" s="60"/>
      <c r="M69" s="37">
        <v>28.5</v>
      </c>
      <c r="N69" s="51">
        <v>28.9</v>
      </c>
      <c r="O69" s="37">
        <v>28.8</v>
      </c>
      <c r="P69" s="52">
        <v>31.52</v>
      </c>
      <c r="Q69" s="38"/>
      <c r="R69" s="38">
        <v>6.3579999999999997</v>
      </c>
      <c r="S69" s="51">
        <f t="shared" si="1"/>
        <v>6.2884049194836784</v>
      </c>
      <c r="T69" s="38"/>
      <c r="U69" s="38"/>
      <c r="V69" s="38"/>
      <c r="W69" s="38"/>
      <c r="X69" s="27">
        <f t="shared" si="6"/>
        <v>0</v>
      </c>
      <c r="Y69" s="38"/>
      <c r="Z69" s="38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spans="1:40" ht="14.25" customHeight="1" x14ac:dyDescent="0.45">
      <c r="A70" s="26">
        <v>2024</v>
      </c>
      <c r="B70" s="54">
        <v>11</v>
      </c>
      <c r="C70" s="27">
        <v>29</v>
      </c>
      <c r="D70" s="28">
        <v>0.59583333333333333</v>
      </c>
      <c r="E70" s="29">
        <v>35</v>
      </c>
      <c r="F70" s="94" t="s">
        <v>145</v>
      </c>
      <c r="G70" s="95" t="s">
        <v>146</v>
      </c>
      <c r="H70" s="61">
        <v>10</v>
      </c>
      <c r="I70" s="27">
        <v>3</v>
      </c>
      <c r="J70" s="33" t="s">
        <v>47</v>
      </c>
      <c r="K70" s="32">
        <v>1</v>
      </c>
      <c r="L70" s="60">
        <v>0.8</v>
      </c>
      <c r="M70" s="37">
        <v>28.6</v>
      </c>
      <c r="N70" s="51">
        <v>29.11</v>
      </c>
      <c r="O70" s="37">
        <v>28.9</v>
      </c>
      <c r="P70" s="52">
        <v>31.73</v>
      </c>
      <c r="Q70" s="38">
        <v>6.28</v>
      </c>
      <c r="R70" s="38">
        <v>6.633</v>
      </c>
      <c r="S70" s="51">
        <f t="shared" si="1"/>
        <v>6.5046452192526987</v>
      </c>
      <c r="T70" s="38">
        <f t="shared" ref="T70:T72" si="80">R70</f>
        <v>6.633</v>
      </c>
      <c r="U70" s="38">
        <f t="shared" ref="U70:U72" si="81">Q70</f>
        <v>6.28</v>
      </c>
      <c r="V70" s="38">
        <f t="shared" ref="V70:V72" si="82">T70*$T$2+$U$2</f>
        <v>6.6220308266025709</v>
      </c>
      <c r="W70" s="38">
        <f t="shared" ref="W70:W72" si="83">U70-V70</f>
        <v>-0.34203082660257067</v>
      </c>
      <c r="X70" s="27">
        <f t="shared" si="6"/>
        <v>0</v>
      </c>
      <c r="Y70" s="38">
        <f t="shared" ref="Y70:Z70" si="84">IF($X70=0,T70,"")</f>
        <v>6.633</v>
      </c>
      <c r="Z70" s="38">
        <f t="shared" si="84"/>
        <v>6.28</v>
      </c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spans="1:40" ht="14.25" customHeight="1" x14ac:dyDescent="0.45">
      <c r="A71" s="26"/>
      <c r="B71" s="27"/>
      <c r="C71" s="27"/>
      <c r="D71" s="28"/>
      <c r="E71" s="29"/>
      <c r="F71" s="94"/>
      <c r="G71" s="95"/>
      <c r="H71" s="61"/>
      <c r="I71" s="27"/>
      <c r="J71" s="33" t="s">
        <v>51</v>
      </c>
      <c r="K71" s="32">
        <v>5</v>
      </c>
      <c r="L71" s="60"/>
      <c r="M71" s="37">
        <v>28.5</v>
      </c>
      <c r="N71" s="51">
        <v>29.11</v>
      </c>
      <c r="O71" s="37">
        <v>28.8</v>
      </c>
      <c r="P71" s="52">
        <v>31.74</v>
      </c>
      <c r="Q71" s="38">
        <v>6.36</v>
      </c>
      <c r="R71" s="38">
        <v>6.6369999999999996</v>
      </c>
      <c r="S71" s="51">
        <f t="shared" si="1"/>
        <v>6.5077905327038845</v>
      </c>
      <c r="T71" s="38">
        <f t="shared" si="80"/>
        <v>6.6369999999999996</v>
      </c>
      <c r="U71" s="38">
        <f t="shared" si="81"/>
        <v>6.36</v>
      </c>
      <c r="V71" s="38">
        <f t="shared" si="82"/>
        <v>6.6248113727793836</v>
      </c>
      <c r="W71" s="38">
        <f t="shared" si="83"/>
        <v>-0.26481137277938327</v>
      </c>
      <c r="X71" s="27">
        <f t="shared" si="6"/>
        <v>0</v>
      </c>
      <c r="Y71" s="38">
        <f t="shared" ref="Y71:Z71" si="85">IF($X71=0,T71,"")</f>
        <v>6.6369999999999996</v>
      </c>
      <c r="Z71" s="38">
        <f t="shared" si="85"/>
        <v>6.36</v>
      </c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spans="1:40" ht="14.25" customHeight="1" x14ac:dyDescent="0.45">
      <c r="A72" s="26"/>
      <c r="B72" s="27"/>
      <c r="C72" s="27"/>
      <c r="D72" s="28"/>
      <c r="E72" s="29"/>
      <c r="F72" s="94"/>
      <c r="G72" s="95"/>
      <c r="H72" s="61"/>
      <c r="I72" s="27"/>
      <c r="J72" s="33" t="s">
        <v>52</v>
      </c>
      <c r="K72" s="32">
        <v>9</v>
      </c>
      <c r="L72" s="60"/>
      <c r="M72" s="37">
        <v>28.2</v>
      </c>
      <c r="N72" s="51">
        <v>29.07</v>
      </c>
      <c r="O72" s="37">
        <v>28.7</v>
      </c>
      <c r="P72" s="52">
        <v>31.74</v>
      </c>
      <c r="Q72" s="38">
        <v>6.17</v>
      </c>
      <c r="R72" s="38">
        <v>6.609</v>
      </c>
      <c r="S72" s="51">
        <f t="shared" si="1"/>
        <v>6.4857733385455845</v>
      </c>
      <c r="T72" s="38">
        <f t="shared" si="80"/>
        <v>6.609</v>
      </c>
      <c r="U72" s="38">
        <f t="shared" si="81"/>
        <v>6.17</v>
      </c>
      <c r="V72" s="38">
        <f t="shared" si="82"/>
        <v>6.605347549541694</v>
      </c>
      <c r="W72" s="38">
        <f t="shared" si="83"/>
        <v>-0.43534754954169408</v>
      </c>
      <c r="X72" s="27">
        <f t="shared" si="6"/>
        <v>0</v>
      </c>
      <c r="Y72" s="38">
        <f t="shared" ref="Y72:Z72" si="86">IF($X72=0,T72,"")</f>
        <v>6.609</v>
      </c>
      <c r="Z72" s="38">
        <f t="shared" si="86"/>
        <v>6.17</v>
      </c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spans="1:40" ht="14.25" customHeight="1" x14ac:dyDescent="0.45">
      <c r="A73" s="26">
        <v>2024</v>
      </c>
      <c r="B73" s="27">
        <v>11</v>
      </c>
      <c r="C73" s="27">
        <v>29</v>
      </c>
      <c r="D73" s="28">
        <v>0.64930555555555558</v>
      </c>
      <c r="E73" s="29" t="s">
        <v>68</v>
      </c>
      <c r="F73" s="94" t="s">
        <v>147</v>
      </c>
      <c r="G73" s="95" t="s">
        <v>148</v>
      </c>
      <c r="H73" s="61">
        <v>8.6999999999999993</v>
      </c>
      <c r="I73" s="27">
        <v>3</v>
      </c>
      <c r="J73" s="33" t="s">
        <v>47</v>
      </c>
      <c r="K73" s="32">
        <v>1</v>
      </c>
      <c r="L73" s="60">
        <v>0.7</v>
      </c>
      <c r="M73" s="37">
        <v>27.9</v>
      </c>
      <c r="N73" s="51">
        <v>28.81</v>
      </c>
      <c r="O73" s="37">
        <v>28.4</v>
      </c>
      <c r="P73" s="52">
        <v>31.1</v>
      </c>
      <c r="Q73" s="38"/>
      <c r="R73" s="38">
        <v>6.6779999999999999</v>
      </c>
      <c r="S73" s="51">
        <f t="shared" si="1"/>
        <v>6.5400299955785384</v>
      </c>
      <c r="T73" s="38"/>
      <c r="U73" s="38"/>
      <c r="V73" s="38"/>
      <c r="W73" s="38"/>
      <c r="X73" s="27">
        <f t="shared" si="6"/>
        <v>0</v>
      </c>
      <c r="Y73" s="38"/>
      <c r="Z73" s="38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spans="1:40" ht="14.25" customHeight="1" x14ac:dyDescent="0.45">
      <c r="A74" s="26"/>
      <c r="B74" s="27"/>
      <c r="C74" s="27"/>
      <c r="D74" s="28"/>
      <c r="E74" s="29"/>
      <c r="F74" s="94"/>
      <c r="G74" s="95"/>
      <c r="H74" s="61"/>
      <c r="I74" s="27"/>
      <c r="J74" s="33" t="s">
        <v>51</v>
      </c>
      <c r="K74" s="32">
        <v>4</v>
      </c>
      <c r="L74" s="60"/>
      <c r="M74" s="37">
        <v>28</v>
      </c>
      <c r="N74" s="51">
        <v>28.79</v>
      </c>
      <c r="O74" s="37">
        <v>28.5</v>
      </c>
      <c r="P74" s="52">
        <v>31.1</v>
      </c>
      <c r="Q74" s="38"/>
      <c r="R74" s="38">
        <v>6.4379999999999997</v>
      </c>
      <c r="S74" s="51">
        <f t="shared" si="1"/>
        <v>6.3513111885073936</v>
      </c>
      <c r="T74" s="38"/>
      <c r="U74" s="38"/>
      <c r="V74" s="38"/>
      <c r="W74" s="38"/>
      <c r="X74" s="27">
        <f t="shared" si="6"/>
        <v>0</v>
      </c>
      <c r="Y74" s="38"/>
      <c r="Z74" s="38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spans="1:40" ht="14.25" customHeight="1" x14ac:dyDescent="0.45">
      <c r="A75" s="26"/>
      <c r="B75" s="27"/>
      <c r="C75" s="27"/>
      <c r="D75" s="28"/>
      <c r="E75" s="29"/>
      <c r="F75" s="94"/>
      <c r="G75" s="95"/>
      <c r="H75" s="61"/>
      <c r="I75" s="27"/>
      <c r="J75" s="33" t="s">
        <v>52</v>
      </c>
      <c r="K75" s="32">
        <v>7</v>
      </c>
      <c r="L75" s="60"/>
      <c r="M75" s="37">
        <v>28.3</v>
      </c>
      <c r="N75" s="51">
        <v>28.74</v>
      </c>
      <c r="O75" s="37">
        <v>28.5</v>
      </c>
      <c r="P75" s="52">
        <v>31.13</v>
      </c>
      <c r="Q75" s="38"/>
      <c r="R75" s="38">
        <v>6.3550000000000004</v>
      </c>
      <c r="S75" s="51">
        <f t="shared" si="1"/>
        <v>6.2860459343952897</v>
      </c>
      <c r="T75" s="38"/>
      <c r="U75" s="38"/>
      <c r="V75" s="38"/>
      <c r="W75" s="38"/>
      <c r="X75" s="27">
        <f t="shared" si="6"/>
        <v>0</v>
      </c>
      <c r="Y75" s="38"/>
      <c r="Z75" s="38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spans="1:40" ht="14.25" customHeight="1" x14ac:dyDescent="0.45">
      <c r="A76" s="26">
        <v>2024</v>
      </c>
      <c r="B76" s="27">
        <v>11</v>
      </c>
      <c r="C76" s="27">
        <v>29</v>
      </c>
      <c r="D76" s="28">
        <v>0.66319444444444442</v>
      </c>
      <c r="E76" s="29" t="s">
        <v>69</v>
      </c>
      <c r="F76" s="94" t="s">
        <v>149</v>
      </c>
      <c r="G76" s="95" t="s">
        <v>150</v>
      </c>
      <c r="H76" s="61">
        <v>8.5</v>
      </c>
      <c r="I76" s="27">
        <v>3</v>
      </c>
      <c r="J76" s="33" t="s">
        <v>47</v>
      </c>
      <c r="K76" s="32">
        <v>1</v>
      </c>
      <c r="L76" s="60">
        <v>1</v>
      </c>
      <c r="M76" s="37">
        <v>28.3</v>
      </c>
      <c r="N76" s="51">
        <v>28.86</v>
      </c>
      <c r="O76" s="37">
        <v>27.3</v>
      </c>
      <c r="P76" s="52">
        <v>29.94</v>
      </c>
      <c r="Q76" s="38"/>
      <c r="R76" s="38">
        <v>6.77</v>
      </c>
      <c r="S76" s="51">
        <f t="shared" si="1"/>
        <v>6.6123722049558102</v>
      </c>
      <c r="T76" s="38"/>
      <c r="U76" s="38"/>
      <c r="V76" s="38"/>
      <c r="W76" s="38"/>
      <c r="X76" s="27">
        <f t="shared" si="6"/>
        <v>0</v>
      </c>
      <c r="Y76" s="38"/>
      <c r="Z76" s="38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spans="1:40" ht="14.25" customHeight="1" x14ac:dyDescent="0.45">
      <c r="A77" s="26"/>
      <c r="C77" s="27"/>
      <c r="D77" s="28"/>
      <c r="E77" s="29"/>
      <c r="F77" s="94"/>
      <c r="G77" s="95"/>
      <c r="H77" s="61"/>
      <c r="I77" s="27"/>
      <c r="J77" s="33" t="s">
        <v>51</v>
      </c>
      <c r="K77" s="32">
        <v>4</v>
      </c>
      <c r="L77" s="60"/>
      <c r="M77" s="37">
        <v>28.2</v>
      </c>
      <c r="N77" s="51">
        <v>28.75</v>
      </c>
      <c r="O77" s="37">
        <v>27.5</v>
      </c>
      <c r="P77" s="52">
        <v>30.45</v>
      </c>
      <c r="Q77" s="38"/>
      <c r="R77" s="38">
        <v>6.49</v>
      </c>
      <c r="S77" s="51">
        <f t="shared" si="1"/>
        <v>6.3922002633728088</v>
      </c>
      <c r="T77" s="38"/>
      <c r="U77" s="38"/>
      <c r="V77" s="38"/>
      <c r="W77" s="38"/>
      <c r="X77" s="27">
        <f t="shared" si="6"/>
        <v>0</v>
      </c>
      <c r="Y77" s="38"/>
      <c r="Z77" s="38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spans="1:40" ht="14.25" customHeight="1" x14ac:dyDescent="0.45">
      <c r="A78" s="26"/>
      <c r="B78" s="27"/>
      <c r="C78" s="27"/>
      <c r="D78" s="28"/>
      <c r="E78" s="29"/>
      <c r="F78" s="94"/>
      <c r="G78" s="95"/>
      <c r="H78" s="61"/>
      <c r="I78" s="27"/>
      <c r="J78" s="33" t="s">
        <v>52</v>
      </c>
      <c r="K78" s="32">
        <v>7</v>
      </c>
      <c r="L78" s="60"/>
      <c r="M78" s="37">
        <v>28.2</v>
      </c>
      <c r="N78" s="51">
        <v>28.8</v>
      </c>
      <c r="O78" s="37">
        <v>27.9</v>
      </c>
      <c r="P78" s="52">
        <v>31.07</v>
      </c>
      <c r="Q78" s="38"/>
      <c r="R78" s="38">
        <v>6.5049999999999999</v>
      </c>
      <c r="S78" s="51">
        <f t="shared" si="1"/>
        <v>6.403995188814755</v>
      </c>
      <c r="T78" s="38"/>
      <c r="U78" s="38"/>
      <c r="V78" s="38"/>
      <c r="W78" s="38"/>
      <c r="X78" s="27">
        <f t="shared" si="6"/>
        <v>0</v>
      </c>
      <c r="Y78" s="38"/>
      <c r="Z78" s="38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spans="1:40" ht="14.25" customHeight="1" x14ac:dyDescent="0.45">
      <c r="A79" s="26">
        <v>2024</v>
      </c>
      <c r="B79" s="27">
        <v>11</v>
      </c>
      <c r="C79" s="27">
        <v>29</v>
      </c>
      <c r="D79" s="28">
        <v>0.69444444444444442</v>
      </c>
      <c r="E79" s="29">
        <v>23</v>
      </c>
      <c r="F79" s="94" t="s">
        <v>151</v>
      </c>
      <c r="G79" s="95" t="s">
        <v>152</v>
      </c>
      <c r="H79" s="61">
        <v>9</v>
      </c>
      <c r="I79" s="27">
        <v>3</v>
      </c>
      <c r="J79" s="33" t="s">
        <v>47</v>
      </c>
      <c r="K79" s="32">
        <v>1</v>
      </c>
      <c r="L79" s="60">
        <v>1</v>
      </c>
      <c r="M79" s="37">
        <v>28.3</v>
      </c>
      <c r="N79" s="51">
        <v>29.04</v>
      </c>
      <c r="O79" s="37">
        <v>26.7</v>
      </c>
      <c r="P79" s="52">
        <v>29.35</v>
      </c>
      <c r="Q79" s="38"/>
      <c r="R79" s="38">
        <v>6.9569999999999999</v>
      </c>
      <c r="S79" s="51">
        <f t="shared" si="1"/>
        <v>6.7594156087987436</v>
      </c>
      <c r="T79" s="38"/>
      <c r="U79" s="38"/>
      <c r="V79" s="38"/>
      <c r="W79" s="38"/>
      <c r="X79" s="27">
        <f t="shared" si="6"/>
        <v>0</v>
      </c>
      <c r="Y79" s="38"/>
      <c r="Z79" s="38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spans="1:40" ht="14.25" customHeight="1" x14ac:dyDescent="0.45">
      <c r="A80" s="26"/>
      <c r="C80" s="27"/>
      <c r="D80" s="28"/>
      <c r="E80" s="29"/>
      <c r="F80" s="94"/>
      <c r="G80" s="95"/>
      <c r="H80" s="61"/>
      <c r="I80" s="27"/>
      <c r="J80" s="33" t="s">
        <v>51</v>
      </c>
      <c r="K80" s="32">
        <v>4.5</v>
      </c>
      <c r="L80" s="60"/>
      <c r="M80" s="37">
        <v>28.5</v>
      </c>
      <c r="N80" s="51">
        <v>28.88</v>
      </c>
      <c r="O80" s="37">
        <v>26.9</v>
      </c>
      <c r="P80" s="52">
        <v>29.79</v>
      </c>
      <c r="Q80" s="38"/>
      <c r="R80" s="38">
        <v>5.2350000000000003</v>
      </c>
      <c r="S80" s="51">
        <f t="shared" si="1"/>
        <v>5.4053581680632821</v>
      </c>
      <c r="T80" s="38"/>
      <c r="U80" s="38"/>
      <c r="V80" s="38"/>
      <c r="W80" s="38"/>
      <c r="X80" s="27">
        <f t="shared" si="6"/>
        <v>0</v>
      </c>
      <c r="Y80" s="38"/>
      <c r="Z80" s="38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spans="1:40" ht="14.25" customHeight="1" x14ac:dyDescent="0.45">
      <c r="A81" s="26"/>
      <c r="C81" s="27"/>
      <c r="D81" s="28"/>
      <c r="E81" s="29"/>
      <c r="F81" s="94"/>
      <c r="G81" s="95"/>
      <c r="H81" s="61"/>
      <c r="I81" s="27"/>
      <c r="J81" s="33" t="s">
        <v>52</v>
      </c>
      <c r="K81" s="32">
        <v>8</v>
      </c>
      <c r="L81" s="60"/>
      <c r="M81" s="37">
        <v>28.4</v>
      </c>
      <c r="N81" s="51">
        <v>28.9</v>
      </c>
      <c r="O81" s="37">
        <v>27.7</v>
      </c>
      <c r="P81" s="52">
        <v>30.16</v>
      </c>
      <c r="Q81" s="57"/>
      <c r="R81" s="38">
        <v>5.0330000000000004</v>
      </c>
      <c r="S81" s="51">
        <f t="shared" si="1"/>
        <v>5.2465198387784016</v>
      </c>
      <c r="T81" s="38"/>
      <c r="U81" s="38"/>
      <c r="V81" s="38"/>
      <c r="W81" s="38"/>
      <c r="X81" s="27">
        <f t="shared" si="6"/>
        <v>0</v>
      </c>
      <c r="Y81" s="38"/>
      <c r="Z81" s="38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spans="1:40" ht="14.25" customHeight="1" x14ac:dyDescent="0.45">
      <c r="A82" s="26">
        <v>2024</v>
      </c>
      <c r="B82" s="27">
        <v>11</v>
      </c>
      <c r="C82" s="27">
        <v>29</v>
      </c>
      <c r="D82" s="28">
        <v>0.71458333333333335</v>
      </c>
      <c r="E82" s="29">
        <v>20</v>
      </c>
      <c r="F82" s="94" t="s">
        <v>153</v>
      </c>
      <c r="G82" s="95" t="s">
        <v>154</v>
      </c>
      <c r="H82" s="61">
        <v>7.3</v>
      </c>
      <c r="I82" s="27">
        <v>3</v>
      </c>
      <c r="J82" s="33" t="s">
        <v>47</v>
      </c>
      <c r="K82" s="32">
        <v>1</v>
      </c>
      <c r="L82" s="60">
        <v>1</v>
      </c>
      <c r="M82" s="37">
        <v>28</v>
      </c>
      <c r="N82" s="51">
        <v>29.59</v>
      </c>
      <c r="O82" s="37">
        <v>23.6</v>
      </c>
      <c r="P82" s="52">
        <v>25.54</v>
      </c>
      <c r="Q82" s="38">
        <v>14.02</v>
      </c>
      <c r="R82" s="38">
        <v>16.074999999999999</v>
      </c>
      <c r="S82" s="51">
        <f t="shared" si="1"/>
        <v>13.929157620776646</v>
      </c>
      <c r="T82" s="38">
        <f t="shared" ref="T82:T88" si="87">R82</f>
        <v>16.074999999999999</v>
      </c>
      <c r="U82" s="38">
        <f t="shared" ref="U82:U88" si="88">Q82</f>
        <v>14.02</v>
      </c>
      <c r="V82" s="38">
        <f t="shared" ref="V82:V88" si="89">T82*$T$2+$U$2</f>
        <v>13.185510076969233</v>
      </c>
      <c r="W82" s="38">
        <f t="shared" ref="W82:W88" si="90">U82-V82</f>
        <v>0.83448992303076608</v>
      </c>
      <c r="X82" s="27">
        <f t="shared" si="6"/>
        <v>0</v>
      </c>
      <c r="Y82" s="38">
        <f t="shared" ref="Y82:Z82" si="91">IF($X82=0,T82,"")</f>
        <v>16.074999999999999</v>
      </c>
      <c r="Z82" s="38">
        <f t="shared" si="91"/>
        <v>14.02</v>
      </c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spans="1:40" ht="14.25" customHeight="1" x14ac:dyDescent="0.45">
      <c r="A83" s="26"/>
      <c r="B83" s="27"/>
      <c r="C83" s="27"/>
      <c r="D83" s="28"/>
      <c r="E83" s="29"/>
      <c r="F83" s="94"/>
      <c r="G83" s="95"/>
      <c r="H83" s="61"/>
      <c r="I83" s="27"/>
      <c r="J83" s="33" t="s">
        <v>51</v>
      </c>
      <c r="K83" s="32">
        <v>3.5</v>
      </c>
      <c r="L83" s="60"/>
      <c r="M83" s="37">
        <v>28.2</v>
      </c>
      <c r="N83" s="51">
        <v>29.18</v>
      </c>
      <c r="O83" s="37">
        <v>25</v>
      </c>
      <c r="P83" s="52">
        <v>28.51</v>
      </c>
      <c r="Q83" s="38">
        <v>12.27</v>
      </c>
      <c r="R83" s="38">
        <v>10.413</v>
      </c>
      <c r="S83" s="51">
        <f t="shared" si="1"/>
        <v>9.4769664306232251</v>
      </c>
      <c r="T83" s="38">
        <f t="shared" si="87"/>
        <v>10.413</v>
      </c>
      <c r="U83" s="38">
        <f t="shared" si="88"/>
        <v>12.27</v>
      </c>
      <c r="V83" s="38">
        <f t="shared" si="89"/>
        <v>9.2496469636906866</v>
      </c>
      <c r="W83" s="38">
        <f t="shared" si="90"/>
        <v>3.020353036309313</v>
      </c>
      <c r="X83" s="27">
        <f t="shared" si="6"/>
        <v>1</v>
      </c>
      <c r="Y83" s="38"/>
      <c r="Z83" s="38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spans="1:40" ht="14.25" customHeight="1" x14ac:dyDescent="0.45">
      <c r="A84" s="26"/>
      <c r="C84" s="27"/>
      <c r="D84" s="28"/>
      <c r="E84" s="29"/>
      <c r="F84" s="94"/>
      <c r="G84" s="95"/>
      <c r="H84" s="61"/>
      <c r="I84" s="27"/>
      <c r="J84" s="33" t="s">
        <v>52</v>
      </c>
      <c r="K84" s="32">
        <v>6</v>
      </c>
      <c r="L84" s="60"/>
      <c r="M84" s="37">
        <v>28.1</v>
      </c>
      <c r="N84" s="51">
        <v>29.02</v>
      </c>
      <c r="O84" s="37">
        <v>25.2</v>
      </c>
      <c r="P84" s="52">
        <v>29.1</v>
      </c>
      <c r="Q84" s="38">
        <v>10.74</v>
      </c>
      <c r="R84" s="38">
        <v>5.2050000000000001</v>
      </c>
      <c r="S84" s="51">
        <f t="shared" si="1"/>
        <v>5.3817683171793886</v>
      </c>
      <c r="T84" s="38">
        <f t="shared" si="87"/>
        <v>5.2050000000000001</v>
      </c>
      <c r="U84" s="38">
        <f t="shared" si="88"/>
        <v>10.74</v>
      </c>
      <c r="V84" s="38">
        <f t="shared" si="89"/>
        <v>5.6293758414803943</v>
      </c>
      <c r="W84" s="38">
        <f t="shared" si="90"/>
        <v>5.1106241585196059</v>
      </c>
      <c r="X84" s="27">
        <f t="shared" si="6"/>
        <v>1</v>
      </c>
      <c r="Y84" s="38"/>
      <c r="Z84" s="38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spans="1:40" ht="14.25" customHeight="1" x14ac:dyDescent="0.45">
      <c r="A85" s="26">
        <v>2024</v>
      </c>
      <c r="B85" s="27">
        <v>11</v>
      </c>
      <c r="C85" s="27">
        <v>30</v>
      </c>
      <c r="D85" s="28">
        <v>0.31944444444444442</v>
      </c>
      <c r="E85" s="29">
        <v>22</v>
      </c>
      <c r="F85" s="94" t="s">
        <v>155</v>
      </c>
      <c r="G85" s="95" t="s">
        <v>156</v>
      </c>
      <c r="H85" s="61">
        <v>5.3</v>
      </c>
      <c r="I85" s="27">
        <v>3</v>
      </c>
      <c r="J85" s="33" t="s">
        <v>47</v>
      </c>
      <c r="K85" s="32">
        <v>1</v>
      </c>
      <c r="L85" s="60">
        <v>0.7</v>
      </c>
      <c r="M85" s="37">
        <v>26.1</v>
      </c>
      <c r="N85" s="51">
        <v>27.53</v>
      </c>
      <c r="O85" s="37">
        <v>20</v>
      </c>
      <c r="P85" s="52">
        <v>22.85</v>
      </c>
      <c r="Q85" s="57">
        <v>3.93</v>
      </c>
      <c r="R85" s="38">
        <v>4.0609999999999999</v>
      </c>
      <c r="S85" s="51">
        <f t="shared" si="1"/>
        <v>4.4822086701402659</v>
      </c>
      <c r="T85" s="38">
        <f t="shared" si="87"/>
        <v>4.0609999999999999</v>
      </c>
      <c r="U85" s="38">
        <f t="shared" si="88"/>
        <v>3.93</v>
      </c>
      <c r="V85" s="38">
        <f t="shared" si="89"/>
        <v>4.8341396349119279</v>
      </c>
      <c r="W85" s="38">
        <f t="shared" si="90"/>
        <v>-0.90413963491192773</v>
      </c>
      <c r="X85" s="27">
        <f t="shared" si="6"/>
        <v>0</v>
      </c>
      <c r="Y85" s="38">
        <f t="shared" ref="Y85:Z85" si="92">IF($X85=0,T85,"")</f>
        <v>4.0609999999999999</v>
      </c>
      <c r="Z85" s="38">
        <f t="shared" si="92"/>
        <v>3.93</v>
      </c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spans="1:40" ht="14.25" customHeight="1" x14ac:dyDescent="0.45">
      <c r="A86" s="26"/>
      <c r="B86" s="27"/>
      <c r="C86" s="27"/>
      <c r="D86" s="28"/>
      <c r="E86" s="29"/>
      <c r="F86" s="94"/>
      <c r="G86" s="95"/>
      <c r="H86" s="61"/>
      <c r="I86" s="27"/>
      <c r="J86" s="33" t="s">
        <v>51</v>
      </c>
      <c r="K86" s="32">
        <v>2.5</v>
      </c>
      <c r="L86" s="60"/>
      <c r="M86" s="37">
        <v>27</v>
      </c>
      <c r="N86" s="51">
        <v>28.52</v>
      </c>
      <c r="O86" s="37">
        <v>21.3</v>
      </c>
      <c r="P86" s="52">
        <v>27.75</v>
      </c>
      <c r="Q86" s="38">
        <v>3.56</v>
      </c>
      <c r="R86" s="38">
        <v>2.5640000000000001</v>
      </c>
      <c r="S86" s="51">
        <f t="shared" si="1"/>
        <v>3.3050751110340015</v>
      </c>
      <c r="T86" s="38">
        <f t="shared" si="87"/>
        <v>2.5640000000000001</v>
      </c>
      <c r="U86" s="38">
        <f t="shared" si="88"/>
        <v>3.56</v>
      </c>
      <c r="V86" s="38">
        <f t="shared" si="89"/>
        <v>3.7935202282397293</v>
      </c>
      <c r="W86" s="38">
        <f t="shared" si="90"/>
        <v>-0.23352022823972929</v>
      </c>
      <c r="X86" s="27">
        <f t="shared" si="6"/>
        <v>0</v>
      </c>
      <c r="Y86" s="38">
        <f t="shared" ref="Y86:Z86" si="93">IF($X86=0,T86,"")</f>
        <v>2.5640000000000001</v>
      </c>
      <c r="Z86" s="38">
        <f t="shared" si="93"/>
        <v>3.56</v>
      </c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spans="1:40" ht="14.25" customHeight="1" x14ac:dyDescent="0.45">
      <c r="A87" s="26"/>
      <c r="B87" s="27"/>
      <c r="C87" s="27"/>
      <c r="D87" s="28"/>
      <c r="E87" s="29"/>
      <c r="F87" s="94"/>
      <c r="G87" s="95"/>
      <c r="H87" s="61"/>
      <c r="I87" s="27"/>
      <c r="J87" s="33" t="s">
        <v>52</v>
      </c>
      <c r="K87" s="32">
        <v>4</v>
      </c>
      <c r="L87" s="60"/>
      <c r="M87" s="37">
        <v>26.7</v>
      </c>
      <c r="N87" s="51">
        <v>28.62</v>
      </c>
      <c r="O87" s="37">
        <v>22.5</v>
      </c>
      <c r="P87" s="52">
        <v>27.85</v>
      </c>
      <c r="Q87" s="38">
        <v>3.9</v>
      </c>
      <c r="R87" s="38">
        <v>2.7229999999999999</v>
      </c>
      <c r="S87" s="51">
        <f t="shared" si="1"/>
        <v>3.4301013207186348</v>
      </c>
      <c r="T87" s="38">
        <f t="shared" si="87"/>
        <v>2.7229999999999999</v>
      </c>
      <c r="U87" s="38">
        <f t="shared" si="88"/>
        <v>3.9</v>
      </c>
      <c r="V87" s="38">
        <f t="shared" si="89"/>
        <v>3.9040469387680385</v>
      </c>
      <c r="W87" s="38">
        <f t="shared" si="90"/>
        <v>-4.0469387680386326E-3</v>
      </c>
      <c r="X87" s="27">
        <f t="shared" si="6"/>
        <v>0</v>
      </c>
      <c r="Y87" s="38">
        <f t="shared" ref="Y87:Z87" si="94">IF($X87=0,T87,"")</f>
        <v>2.7229999999999999</v>
      </c>
      <c r="Z87" s="38">
        <f t="shared" si="94"/>
        <v>3.9</v>
      </c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spans="1:40" ht="14.25" customHeight="1" x14ac:dyDescent="0.45">
      <c r="A88" s="26">
        <v>2024</v>
      </c>
      <c r="B88" s="27">
        <v>11</v>
      </c>
      <c r="C88" s="27">
        <v>30</v>
      </c>
      <c r="D88" s="28">
        <v>0.35486111111111113</v>
      </c>
      <c r="E88" s="29">
        <v>21</v>
      </c>
      <c r="F88" s="94" t="s">
        <v>157</v>
      </c>
      <c r="G88" s="95" t="s">
        <v>158</v>
      </c>
      <c r="H88" s="61">
        <v>3.8</v>
      </c>
      <c r="I88" s="27">
        <v>2</v>
      </c>
      <c r="J88" s="33" t="s">
        <v>47</v>
      </c>
      <c r="K88" s="32">
        <v>1</v>
      </c>
      <c r="L88" s="60">
        <v>0.5</v>
      </c>
      <c r="M88" s="37">
        <v>26.5</v>
      </c>
      <c r="N88" s="51">
        <v>28.47</v>
      </c>
      <c r="O88" s="37">
        <v>22</v>
      </c>
      <c r="P88" s="52">
        <v>27.31</v>
      </c>
      <c r="Q88" s="38">
        <v>4.49</v>
      </c>
      <c r="R88" s="38">
        <v>4.1340000000000003</v>
      </c>
      <c r="S88" s="51">
        <f t="shared" si="1"/>
        <v>4.5396106406244066</v>
      </c>
      <c r="T88" s="38">
        <f t="shared" si="87"/>
        <v>4.1340000000000003</v>
      </c>
      <c r="U88" s="38">
        <f t="shared" si="88"/>
        <v>4.49</v>
      </c>
      <c r="V88" s="38">
        <f t="shared" si="89"/>
        <v>4.8848846026387616</v>
      </c>
      <c r="W88" s="38">
        <f t="shared" si="90"/>
        <v>-0.39488460263876135</v>
      </c>
      <c r="X88" s="27">
        <f t="shared" si="6"/>
        <v>0</v>
      </c>
      <c r="Y88" s="38">
        <f t="shared" ref="Y88:Z88" si="95">IF($X88=0,T88,"")</f>
        <v>4.1340000000000003</v>
      </c>
      <c r="Z88" s="38">
        <f t="shared" si="95"/>
        <v>4.49</v>
      </c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spans="1:40" ht="14.25" customHeight="1" x14ac:dyDescent="0.45">
      <c r="A89" s="26"/>
      <c r="B89" s="27"/>
      <c r="C89" s="27"/>
      <c r="D89" s="28"/>
      <c r="E89" s="29"/>
      <c r="F89" s="94"/>
      <c r="G89" s="95"/>
      <c r="H89" s="61"/>
      <c r="I89" s="27"/>
      <c r="J89" s="33" t="s">
        <v>51</v>
      </c>
      <c r="K89" s="32"/>
      <c r="L89" s="60"/>
      <c r="M89" s="37"/>
      <c r="N89" s="51"/>
      <c r="O89" s="37"/>
      <c r="P89" s="52"/>
      <c r="Q89" s="38"/>
      <c r="R89" s="38"/>
      <c r="S89" s="51"/>
      <c r="T89" s="38"/>
      <c r="U89" s="38"/>
      <c r="V89" s="38"/>
      <c r="W89" s="38"/>
      <c r="X89" s="27">
        <f t="shared" si="6"/>
        <v>0</v>
      </c>
      <c r="Y89" s="38"/>
      <c r="Z89" s="38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spans="1:40" ht="14.25" customHeight="1" x14ac:dyDescent="0.45">
      <c r="A90" s="26"/>
      <c r="B90" s="27"/>
      <c r="C90" s="27"/>
      <c r="D90" s="28"/>
      <c r="E90" s="29"/>
      <c r="F90" s="94"/>
      <c r="G90" s="95"/>
      <c r="H90" s="61"/>
      <c r="I90" s="27"/>
      <c r="J90" s="33" t="s">
        <v>52</v>
      </c>
      <c r="K90" s="32">
        <v>2.5</v>
      </c>
      <c r="L90" s="60"/>
      <c r="M90" s="37">
        <v>27.3</v>
      </c>
      <c r="N90" s="51">
        <v>28.74</v>
      </c>
      <c r="O90" s="37">
        <v>24.7</v>
      </c>
      <c r="P90" s="52">
        <v>27.97</v>
      </c>
      <c r="Q90" s="38">
        <v>3.88</v>
      </c>
      <c r="R90" s="38">
        <v>3.9790000000000001</v>
      </c>
      <c r="S90" s="51">
        <f t="shared" ref="S90:S193" si="96">$R$1*R90+$S$1</f>
        <v>4.4177297443909582</v>
      </c>
      <c r="T90" s="38">
        <f t="shared" ref="T90:T93" si="97">R90</f>
        <v>3.9790000000000001</v>
      </c>
      <c r="U90" s="38">
        <f t="shared" ref="U90:U93" si="98">Q90</f>
        <v>3.88</v>
      </c>
      <c r="V90" s="38">
        <f t="shared" ref="V90:V93" si="99">T90*$T$2+$U$2</f>
        <v>4.777138438287265</v>
      </c>
      <c r="W90" s="38">
        <f t="shared" ref="W90:W93" si="100">U90-V90</f>
        <v>-0.89713843828726514</v>
      </c>
      <c r="X90" s="27">
        <f t="shared" si="6"/>
        <v>0</v>
      </c>
      <c r="Y90" s="38">
        <f t="shared" ref="Y90:Z90" si="101">IF($X90=0,T90,"")</f>
        <v>3.9790000000000001</v>
      </c>
      <c r="Z90" s="38">
        <f t="shared" si="101"/>
        <v>3.88</v>
      </c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spans="1:40" ht="14.25" customHeight="1" x14ac:dyDescent="0.45">
      <c r="A91" s="26">
        <v>2024</v>
      </c>
      <c r="B91" s="54">
        <v>11</v>
      </c>
      <c r="C91" s="27">
        <v>30</v>
      </c>
      <c r="D91" s="28">
        <v>0.40486111111111112</v>
      </c>
      <c r="E91" s="29">
        <v>24</v>
      </c>
      <c r="F91" s="94" t="s">
        <v>159</v>
      </c>
      <c r="G91" s="95" t="s">
        <v>160</v>
      </c>
      <c r="H91" s="61">
        <v>11</v>
      </c>
      <c r="I91" s="27">
        <v>3</v>
      </c>
      <c r="J91" s="33" t="s">
        <v>47</v>
      </c>
      <c r="K91" s="32">
        <v>1</v>
      </c>
      <c r="L91" s="60">
        <v>1.4</v>
      </c>
      <c r="M91" s="37">
        <v>27.1</v>
      </c>
      <c r="N91" s="51">
        <v>27.92</v>
      </c>
      <c r="O91" s="37">
        <v>27.6</v>
      </c>
      <c r="P91" s="52">
        <v>30.36</v>
      </c>
      <c r="Q91" s="38">
        <v>6.41</v>
      </c>
      <c r="R91" s="38">
        <v>6.8959999999999999</v>
      </c>
      <c r="S91" s="51">
        <f t="shared" si="96"/>
        <v>6.7114495786681614</v>
      </c>
      <c r="T91" s="38">
        <f t="shared" si="97"/>
        <v>6.8959999999999999</v>
      </c>
      <c r="U91" s="38">
        <f t="shared" si="98"/>
        <v>6.41</v>
      </c>
      <c r="V91" s="38">
        <f t="shared" si="99"/>
        <v>6.804851737728014</v>
      </c>
      <c r="W91" s="38">
        <f t="shared" si="100"/>
        <v>-0.39485173772801385</v>
      </c>
      <c r="X91" s="27">
        <f t="shared" si="6"/>
        <v>0</v>
      </c>
      <c r="Y91" s="38">
        <f t="shared" ref="Y91:Z91" si="102">IF($X91=0,T91,"")</f>
        <v>6.8959999999999999</v>
      </c>
      <c r="Z91" s="38">
        <f t="shared" si="102"/>
        <v>6.41</v>
      </c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spans="1:40" ht="14.25" customHeight="1" x14ac:dyDescent="0.45">
      <c r="A92" s="26"/>
      <c r="B92" s="27"/>
      <c r="C92" s="27"/>
      <c r="D92" s="28"/>
      <c r="E92" s="29"/>
      <c r="F92" s="94"/>
      <c r="G92" s="95"/>
      <c r="H92" s="61"/>
      <c r="I92" s="27"/>
      <c r="J92" s="33" t="s">
        <v>51</v>
      </c>
      <c r="K92" s="32">
        <v>5.5</v>
      </c>
      <c r="L92" s="60"/>
      <c r="M92" s="37">
        <v>27.3</v>
      </c>
      <c r="N92" s="51">
        <v>28.19</v>
      </c>
      <c r="O92" s="37">
        <v>28</v>
      </c>
      <c r="P92" s="52">
        <v>30.88</v>
      </c>
      <c r="Q92" s="38">
        <v>6.43</v>
      </c>
      <c r="R92" s="38">
        <v>6.516</v>
      </c>
      <c r="S92" s="51">
        <f t="shared" si="96"/>
        <v>6.4126448008055155</v>
      </c>
      <c r="T92" s="38">
        <f t="shared" si="97"/>
        <v>6.516</v>
      </c>
      <c r="U92" s="38">
        <f t="shared" si="98"/>
        <v>6.43</v>
      </c>
      <c r="V92" s="38">
        <f t="shared" si="99"/>
        <v>6.5406998509307961</v>
      </c>
      <c r="W92" s="38">
        <f t="shared" si="100"/>
        <v>-0.11069985093079637</v>
      </c>
      <c r="X92" s="27">
        <f t="shared" si="6"/>
        <v>0</v>
      </c>
      <c r="Y92" s="38">
        <f t="shared" ref="Y92:Z92" si="103">IF($X92=0,T92,"")</f>
        <v>6.516</v>
      </c>
      <c r="Z92" s="38">
        <f t="shared" si="103"/>
        <v>6.43</v>
      </c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spans="1:40" ht="14.25" customHeight="1" x14ac:dyDescent="0.45">
      <c r="A93" s="26"/>
      <c r="B93" s="27"/>
      <c r="C93" s="27"/>
      <c r="D93" s="28"/>
      <c r="E93" s="29"/>
      <c r="F93" s="94"/>
      <c r="G93" s="95"/>
      <c r="H93" s="61"/>
      <c r="I93" s="27"/>
      <c r="J93" s="33" t="s">
        <v>52</v>
      </c>
      <c r="K93" s="32">
        <v>10</v>
      </c>
      <c r="L93" s="60"/>
      <c r="M93" s="37">
        <v>27.3</v>
      </c>
      <c r="N93" s="51">
        <v>28.56</v>
      </c>
      <c r="O93" s="37">
        <v>28.2</v>
      </c>
      <c r="P93" s="52">
        <v>31.44</v>
      </c>
      <c r="Q93" s="38">
        <v>6.02</v>
      </c>
      <c r="R93" s="38">
        <v>6.3410000000000002</v>
      </c>
      <c r="S93" s="51">
        <f t="shared" si="96"/>
        <v>6.2750373373161397</v>
      </c>
      <c r="T93" s="38">
        <f t="shared" si="97"/>
        <v>6.3410000000000002</v>
      </c>
      <c r="U93" s="38">
        <f t="shared" si="98"/>
        <v>6.02</v>
      </c>
      <c r="V93" s="38">
        <f t="shared" si="99"/>
        <v>6.4190509556952353</v>
      </c>
      <c r="W93" s="38">
        <f t="shared" si="100"/>
        <v>-0.39905095569523574</v>
      </c>
      <c r="X93" s="27">
        <f t="shared" si="6"/>
        <v>0</v>
      </c>
      <c r="Y93" s="38">
        <f t="shared" ref="Y93:Z93" si="104">IF($X93=0,T93,"")</f>
        <v>6.3410000000000002</v>
      </c>
      <c r="Z93" s="38">
        <f t="shared" si="104"/>
        <v>6.02</v>
      </c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spans="1:40" ht="14.25" customHeight="1" x14ac:dyDescent="0.45">
      <c r="A94" s="26">
        <v>2024</v>
      </c>
      <c r="B94" s="27">
        <v>11</v>
      </c>
      <c r="C94" s="27">
        <v>30</v>
      </c>
      <c r="D94" s="28">
        <v>0.4513888888888889</v>
      </c>
      <c r="E94" s="29">
        <v>25</v>
      </c>
      <c r="F94" s="94" t="s">
        <v>161</v>
      </c>
      <c r="G94" s="95" t="s">
        <v>162</v>
      </c>
      <c r="H94" s="61">
        <v>13.5</v>
      </c>
      <c r="I94" s="27">
        <v>3</v>
      </c>
      <c r="J94" s="33" t="s">
        <v>47</v>
      </c>
      <c r="K94" s="32">
        <v>1</v>
      </c>
      <c r="L94" s="60">
        <v>1.7</v>
      </c>
      <c r="M94" s="37">
        <v>27.9</v>
      </c>
      <c r="N94" s="51">
        <v>28.74</v>
      </c>
      <c r="O94" s="37">
        <v>28.9</v>
      </c>
      <c r="P94" s="52">
        <v>31.72</v>
      </c>
      <c r="Q94" s="38"/>
      <c r="R94" s="38">
        <v>6.8310000000000004</v>
      </c>
      <c r="S94" s="51">
        <f t="shared" si="96"/>
        <v>6.6603382350863933</v>
      </c>
      <c r="T94" s="38"/>
      <c r="U94" s="38"/>
      <c r="V94" s="38"/>
      <c r="W94" s="38"/>
      <c r="X94" s="27">
        <f t="shared" si="6"/>
        <v>0</v>
      </c>
      <c r="Y94" s="38"/>
      <c r="Z94" s="38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spans="1:40" ht="14.25" customHeight="1" x14ac:dyDescent="0.45">
      <c r="A95" s="26"/>
      <c r="B95" s="27"/>
      <c r="C95" s="27"/>
      <c r="D95" s="28"/>
      <c r="E95" s="29"/>
      <c r="F95" s="94"/>
      <c r="G95" s="95"/>
      <c r="H95" s="61"/>
      <c r="I95" s="27"/>
      <c r="J95" s="33" t="s">
        <v>51</v>
      </c>
      <c r="K95" s="32">
        <v>6.5</v>
      </c>
      <c r="L95" s="60"/>
      <c r="M95" s="37">
        <v>28.1</v>
      </c>
      <c r="N95" s="51">
        <v>28.72</v>
      </c>
      <c r="O95" s="37">
        <v>29</v>
      </c>
      <c r="P95" s="52">
        <v>31.72</v>
      </c>
      <c r="Q95" s="38"/>
      <c r="R95" s="38">
        <v>6.6180000000000003</v>
      </c>
      <c r="S95" s="51">
        <f t="shared" si="96"/>
        <v>6.4928502938107524</v>
      </c>
      <c r="T95" s="38"/>
      <c r="U95" s="38"/>
      <c r="V95" s="38"/>
      <c r="W95" s="38"/>
      <c r="X95" s="27">
        <f t="shared" si="6"/>
        <v>0</v>
      </c>
      <c r="Y95" s="38"/>
      <c r="Z95" s="38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spans="1:40" ht="14.25" customHeight="1" x14ac:dyDescent="0.45">
      <c r="A96" s="26"/>
      <c r="B96" s="27"/>
      <c r="C96" s="27"/>
      <c r="D96" s="28"/>
      <c r="E96" s="29"/>
      <c r="F96" s="94"/>
      <c r="G96" s="95"/>
      <c r="H96" s="61"/>
      <c r="I96" s="27"/>
      <c r="J96" s="33" t="s">
        <v>52</v>
      </c>
      <c r="K96" s="32">
        <v>12</v>
      </c>
      <c r="L96" s="60"/>
      <c r="M96" s="37">
        <v>28</v>
      </c>
      <c r="N96" s="51">
        <v>28.7</v>
      </c>
      <c r="O96" s="37">
        <v>29</v>
      </c>
      <c r="P96" s="52">
        <v>31.73</v>
      </c>
      <c r="Q96" s="38"/>
      <c r="R96" s="38">
        <v>6.4790000000000001</v>
      </c>
      <c r="S96" s="51">
        <f t="shared" si="96"/>
        <v>6.3835506513820475</v>
      </c>
      <c r="T96" s="38"/>
      <c r="U96" s="38"/>
      <c r="V96" s="38"/>
      <c r="W96" s="38"/>
      <c r="X96" s="27">
        <f t="shared" si="6"/>
        <v>0</v>
      </c>
      <c r="Y96" s="38"/>
      <c r="Z96" s="38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spans="1:40" ht="14.25" customHeight="1" x14ac:dyDescent="0.45">
      <c r="A97" s="26">
        <v>2024</v>
      </c>
      <c r="B97" s="27">
        <v>11</v>
      </c>
      <c r="C97" s="27">
        <v>30</v>
      </c>
      <c r="D97" s="28">
        <v>0.5</v>
      </c>
      <c r="E97" s="29">
        <v>34</v>
      </c>
      <c r="F97" s="94" t="s">
        <v>163</v>
      </c>
      <c r="G97" s="95" t="s">
        <v>164</v>
      </c>
      <c r="H97" s="61">
        <v>13.5</v>
      </c>
      <c r="I97" s="27">
        <v>3</v>
      </c>
      <c r="J97" s="33" t="s">
        <v>47</v>
      </c>
      <c r="K97" s="32">
        <v>1</v>
      </c>
      <c r="L97" s="60">
        <v>2</v>
      </c>
      <c r="M97" s="37">
        <v>28.5</v>
      </c>
      <c r="N97" s="51">
        <v>28.88</v>
      </c>
      <c r="O97" s="37">
        <v>29.8</v>
      </c>
      <c r="P97" s="52">
        <v>31.83</v>
      </c>
      <c r="Q97" s="38"/>
      <c r="R97" s="38">
        <v>6.7750000000000004</v>
      </c>
      <c r="S97" s="51">
        <f t="shared" si="96"/>
        <v>6.6163038467697932</v>
      </c>
      <c r="T97" s="38"/>
      <c r="U97" s="38"/>
      <c r="V97" s="38"/>
      <c r="W97" s="38"/>
      <c r="X97" s="27">
        <f t="shared" si="6"/>
        <v>0</v>
      </c>
      <c r="Y97" s="38"/>
      <c r="Z97" s="38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spans="1:40" ht="14.25" customHeight="1" x14ac:dyDescent="0.45">
      <c r="A98" s="26"/>
      <c r="B98" s="27"/>
      <c r="C98" s="27"/>
      <c r="D98" s="28"/>
      <c r="E98" s="29"/>
      <c r="F98" s="94"/>
      <c r="G98" s="95"/>
      <c r="H98" s="61"/>
      <c r="I98" s="27"/>
      <c r="J98" s="33" t="s">
        <v>51</v>
      </c>
      <c r="K98" s="32">
        <v>6.5</v>
      </c>
      <c r="L98" s="60"/>
      <c r="M98" s="37">
        <v>28.2</v>
      </c>
      <c r="N98" s="51">
        <v>28.87</v>
      </c>
      <c r="O98" s="37">
        <v>29.3</v>
      </c>
      <c r="P98" s="52">
        <v>31.83</v>
      </c>
      <c r="Q98" s="38"/>
      <c r="R98" s="38">
        <v>6.7169999999999996</v>
      </c>
      <c r="S98" s="51">
        <f t="shared" si="96"/>
        <v>6.5706968017275988</v>
      </c>
      <c r="T98" s="38"/>
      <c r="U98" s="38"/>
      <c r="V98" s="38"/>
      <c r="W98" s="38"/>
      <c r="X98" s="27">
        <f t="shared" si="6"/>
        <v>0</v>
      </c>
      <c r="Y98" s="38"/>
      <c r="Z98" s="38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spans="1:40" ht="14.25" customHeight="1" x14ac:dyDescent="0.45">
      <c r="A99" s="26"/>
      <c r="B99" s="27"/>
      <c r="C99" s="27"/>
      <c r="D99" s="28"/>
      <c r="E99" s="29"/>
      <c r="F99" s="94"/>
      <c r="G99" s="95"/>
      <c r="H99" s="61"/>
      <c r="I99" s="27"/>
      <c r="J99" s="33" t="s">
        <v>52</v>
      </c>
      <c r="K99" s="32">
        <v>12</v>
      </c>
      <c r="L99" s="60"/>
      <c r="M99" s="37">
        <v>28.5</v>
      </c>
      <c r="N99" s="51">
        <v>28.85</v>
      </c>
      <c r="O99" s="37">
        <v>29.2</v>
      </c>
      <c r="P99" s="52">
        <v>31.83</v>
      </c>
      <c r="Q99" s="38"/>
      <c r="R99" s="38">
        <v>6.6449999999999996</v>
      </c>
      <c r="S99" s="51">
        <f t="shared" si="96"/>
        <v>6.5140811596062553</v>
      </c>
      <c r="T99" s="38"/>
      <c r="U99" s="38"/>
      <c r="V99" s="38"/>
      <c r="W99" s="38"/>
      <c r="X99" s="27">
        <f t="shared" si="6"/>
        <v>0</v>
      </c>
      <c r="Y99" s="38"/>
      <c r="Z99" s="38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spans="1:40" ht="14.25" customHeight="1" x14ac:dyDescent="0.45">
      <c r="A100" s="26">
        <v>2024</v>
      </c>
      <c r="B100" s="27">
        <v>11</v>
      </c>
      <c r="C100" s="27">
        <v>30</v>
      </c>
      <c r="D100" s="28">
        <v>0.51527777777777772</v>
      </c>
      <c r="E100" s="29">
        <v>33</v>
      </c>
      <c r="F100" s="94" t="s">
        <v>165</v>
      </c>
      <c r="G100" s="95" t="s">
        <v>166</v>
      </c>
      <c r="H100" s="61">
        <v>16</v>
      </c>
      <c r="I100" s="27">
        <v>3</v>
      </c>
      <c r="J100" s="33" t="s">
        <v>47</v>
      </c>
      <c r="K100" s="32">
        <v>1</v>
      </c>
      <c r="L100" s="60">
        <v>2.8</v>
      </c>
      <c r="M100" s="37">
        <v>28.2</v>
      </c>
      <c r="N100" s="51">
        <v>29.05</v>
      </c>
      <c r="O100" s="37">
        <v>29</v>
      </c>
      <c r="P100" s="52">
        <v>31.81</v>
      </c>
      <c r="Q100" s="38">
        <v>6.44</v>
      </c>
      <c r="R100" s="38">
        <v>7.3369999999999997</v>
      </c>
      <c r="S100" s="51">
        <f t="shared" si="96"/>
        <v>7.0582203866613895</v>
      </c>
      <c r="T100" s="38">
        <f t="shared" ref="T100:T102" si="105">R100</f>
        <v>7.3369999999999997</v>
      </c>
      <c r="U100" s="38">
        <f t="shared" ref="U100:U102" si="106">Q100</f>
        <v>6.44</v>
      </c>
      <c r="V100" s="38">
        <f t="shared" ref="V100:V102" si="107">T100*$T$2+$U$2</f>
        <v>7.1114069537216276</v>
      </c>
      <c r="W100" s="38">
        <f t="shared" ref="W100:W102" si="108">U100-V100</f>
        <v>-0.67140695372162718</v>
      </c>
      <c r="X100" s="27">
        <f t="shared" si="6"/>
        <v>0</v>
      </c>
      <c r="Y100" s="38">
        <f t="shared" ref="Y100:Z100" si="109">IF($X100=0,T100,"")</f>
        <v>7.3369999999999997</v>
      </c>
      <c r="Z100" s="38">
        <f t="shared" si="109"/>
        <v>6.44</v>
      </c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spans="1:40" ht="14.25" customHeight="1" x14ac:dyDescent="0.45">
      <c r="A101" s="26"/>
      <c r="B101" s="27"/>
      <c r="C101" s="27"/>
      <c r="D101" s="28"/>
      <c r="E101" s="29"/>
      <c r="F101" s="94"/>
      <c r="G101" s="95"/>
      <c r="H101" s="61"/>
      <c r="I101" s="27"/>
      <c r="J101" s="33" t="s">
        <v>51</v>
      </c>
      <c r="K101" s="32">
        <v>8</v>
      </c>
      <c r="L101" s="60"/>
      <c r="M101" s="37">
        <v>28.2</v>
      </c>
      <c r="N101" s="51">
        <v>29.01</v>
      </c>
      <c r="O101" s="37">
        <v>29.1</v>
      </c>
      <c r="P101" s="52">
        <v>31.81</v>
      </c>
      <c r="Q101" s="38">
        <v>6.56</v>
      </c>
      <c r="R101" s="38">
        <v>7.008</v>
      </c>
      <c r="S101" s="51">
        <f t="shared" si="96"/>
        <v>6.7995183553013625</v>
      </c>
      <c r="T101" s="38">
        <f t="shared" si="105"/>
        <v>7.008</v>
      </c>
      <c r="U101" s="38">
        <f t="shared" si="106"/>
        <v>6.56</v>
      </c>
      <c r="V101" s="38">
        <f t="shared" si="107"/>
        <v>6.8827070306787732</v>
      </c>
      <c r="W101" s="38">
        <f t="shared" si="108"/>
        <v>-0.3227070306787736</v>
      </c>
      <c r="X101" s="27">
        <f t="shared" si="6"/>
        <v>0</v>
      </c>
      <c r="Y101" s="38">
        <f t="shared" ref="Y101:Z101" si="110">IF($X101=0,T101,"")</f>
        <v>7.008</v>
      </c>
      <c r="Z101" s="38">
        <f t="shared" si="110"/>
        <v>6.56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spans="1:40" ht="14.25" customHeight="1" x14ac:dyDescent="0.45">
      <c r="A102" s="26"/>
      <c r="B102" s="27"/>
      <c r="C102" s="27"/>
      <c r="D102" s="28"/>
      <c r="E102" s="29"/>
      <c r="F102" s="94"/>
      <c r="G102" s="95"/>
      <c r="H102" s="61"/>
      <c r="I102" s="27"/>
      <c r="J102" s="33" t="s">
        <v>52</v>
      </c>
      <c r="K102" s="32">
        <v>15</v>
      </c>
      <c r="L102" s="60"/>
      <c r="M102" s="37">
        <v>28.3</v>
      </c>
      <c r="N102" s="51">
        <v>28.99</v>
      </c>
      <c r="O102" s="37">
        <v>28.9</v>
      </c>
      <c r="P102" s="52">
        <v>31.81</v>
      </c>
      <c r="Q102" s="38">
        <v>6.77</v>
      </c>
      <c r="R102" s="38">
        <v>6.8449999999999998</v>
      </c>
      <c r="S102" s="51">
        <f t="shared" si="96"/>
        <v>6.6713468321655434</v>
      </c>
      <c r="T102" s="38">
        <f t="shared" si="105"/>
        <v>6.8449999999999998</v>
      </c>
      <c r="U102" s="38">
        <f t="shared" si="106"/>
        <v>6.77</v>
      </c>
      <c r="V102" s="38">
        <f t="shared" si="107"/>
        <v>6.7693997739736504</v>
      </c>
      <c r="W102" s="38">
        <f t="shared" si="108"/>
        <v>6.0022602634912658E-4</v>
      </c>
      <c r="X102" s="27">
        <f t="shared" si="6"/>
        <v>0</v>
      </c>
      <c r="Y102" s="38">
        <f t="shared" ref="Y102:Z102" si="111">IF($X102=0,T102,"")</f>
        <v>6.8449999999999998</v>
      </c>
      <c r="Z102" s="38">
        <f t="shared" si="111"/>
        <v>6.77</v>
      </c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spans="1:40" ht="14.25" customHeight="1" x14ac:dyDescent="0.45">
      <c r="A103" s="26">
        <v>2024</v>
      </c>
      <c r="B103" s="27">
        <v>12</v>
      </c>
      <c r="C103" s="27">
        <v>1</v>
      </c>
      <c r="D103" s="28">
        <v>0.29166666666666669</v>
      </c>
      <c r="E103" s="29" t="s">
        <v>77</v>
      </c>
      <c r="F103" s="94" t="s">
        <v>167</v>
      </c>
      <c r="G103" s="95" t="s">
        <v>168</v>
      </c>
      <c r="H103" s="61">
        <v>12.2</v>
      </c>
      <c r="I103" s="27">
        <v>3</v>
      </c>
      <c r="J103" s="33" t="s">
        <v>47</v>
      </c>
      <c r="K103" s="32">
        <v>1</v>
      </c>
      <c r="L103" s="60">
        <v>1.8</v>
      </c>
      <c r="M103" s="37">
        <v>27.5</v>
      </c>
      <c r="N103" s="51">
        <v>28</v>
      </c>
      <c r="O103" s="37">
        <v>27</v>
      </c>
      <c r="P103" s="52">
        <v>29.88</v>
      </c>
      <c r="Q103" s="38"/>
      <c r="R103" s="38">
        <v>7.5220000000000002</v>
      </c>
      <c r="S103" s="51">
        <f t="shared" si="96"/>
        <v>7.2036911337787304</v>
      </c>
      <c r="T103" s="38"/>
      <c r="U103" s="38"/>
      <c r="V103" s="38"/>
      <c r="W103" s="38"/>
      <c r="X103" s="27">
        <f t="shared" si="6"/>
        <v>0</v>
      </c>
      <c r="Y103" s="38"/>
      <c r="Z103" s="38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spans="1:40" ht="14.25" customHeight="1" x14ac:dyDescent="0.45">
      <c r="A104" s="26"/>
      <c r="B104" s="27"/>
      <c r="C104" s="27"/>
      <c r="D104" s="28"/>
      <c r="E104" s="29"/>
      <c r="F104" s="94"/>
      <c r="G104" s="95"/>
      <c r="H104" s="61"/>
      <c r="I104" s="27"/>
      <c r="J104" s="33" t="s">
        <v>51</v>
      </c>
      <c r="K104" s="32">
        <v>6</v>
      </c>
      <c r="L104" s="60"/>
      <c r="M104" s="37">
        <v>27.5</v>
      </c>
      <c r="N104" s="51">
        <v>28.05</v>
      </c>
      <c r="O104" s="37">
        <v>27.4</v>
      </c>
      <c r="P104" s="52">
        <v>29.98</v>
      </c>
      <c r="Q104" s="38"/>
      <c r="R104" s="38">
        <v>7.1779999999999999</v>
      </c>
      <c r="S104" s="51">
        <f t="shared" si="96"/>
        <v>6.9331941769767562</v>
      </c>
      <c r="T104" s="38"/>
      <c r="U104" s="38"/>
      <c r="V104" s="38"/>
      <c r="W104" s="38"/>
      <c r="X104" s="27">
        <f t="shared" si="6"/>
        <v>0</v>
      </c>
      <c r="Y104" s="38"/>
      <c r="Z104" s="38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spans="1:40" ht="14.25" customHeight="1" x14ac:dyDescent="0.45">
      <c r="A105" s="26"/>
      <c r="B105" s="27"/>
      <c r="C105" s="27"/>
      <c r="D105" s="28"/>
      <c r="E105" s="29"/>
      <c r="F105" s="94"/>
      <c r="G105" s="95"/>
      <c r="H105" s="61"/>
      <c r="I105" s="27"/>
      <c r="J105" s="33" t="s">
        <v>52</v>
      </c>
      <c r="K105" s="32">
        <v>11</v>
      </c>
      <c r="L105" s="60"/>
      <c r="M105" s="37">
        <v>28.1</v>
      </c>
      <c r="N105" s="51">
        <v>28.64</v>
      </c>
      <c r="O105" s="37">
        <v>27.8</v>
      </c>
      <c r="P105" s="52">
        <v>31.45</v>
      </c>
      <c r="Q105" s="38"/>
      <c r="R105" s="38">
        <v>5.5209999999999999</v>
      </c>
      <c r="S105" s="51">
        <f t="shared" si="96"/>
        <v>5.6302480798230619</v>
      </c>
      <c r="T105" s="38"/>
      <c r="U105" s="38"/>
      <c r="V105" s="38"/>
      <c r="W105" s="38"/>
      <c r="X105" s="27">
        <f t="shared" si="6"/>
        <v>0</v>
      </c>
      <c r="Y105" s="38"/>
      <c r="Z105" s="38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spans="1:40" ht="14.25" customHeight="1" x14ac:dyDescent="0.45">
      <c r="A106" s="26">
        <v>2024</v>
      </c>
      <c r="B106" s="27">
        <v>12</v>
      </c>
      <c r="C106" s="27">
        <v>1</v>
      </c>
      <c r="D106" s="28">
        <v>0.3298611111111111</v>
      </c>
      <c r="E106" s="29">
        <v>19</v>
      </c>
      <c r="F106" s="94" t="s">
        <v>169</v>
      </c>
      <c r="G106" s="95" t="s">
        <v>170</v>
      </c>
      <c r="H106" s="61">
        <v>9.8000000000000007</v>
      </c>
      <c r="I106" s="27">
        <v>3</v>
      </c>
      <c r="J106" s="33" t="s">
        <v>47</v>
      </c>
      <c r="K106" s="32">
        <v>1</v>
      </c>
      <c r="L106" s="60">
        <v>1.8</v>
      </c>
      <c r="M106" s="37">
        <v>27</v>
      </c>
      <c r="N106" s="51">
        <v>27.66</v>
      </c>
      <c r="O106" s="37">
        <v>25.6</v>
      </c>
      <c r="P106" s="52">
        <v>27.89</v>
      </c>
      <c r="Q106" s="38">
        <v>6.58</v>
      </c>
      <c r="R106" s="38">
        <v>5.9589999999999996</v>
      </c>
      <c r="S106" s="51">
        <f t="shared" si="96"/>
        <v>5.9746599027279004</v>
      </c>
      <c r="T106" s="38">
        <f t="shared" ref="T106:T111" si="112">R106</f>
        <v>5.9589999999999996</v>
      </c>
      <c r="U106" s="38">
        <f t="shared" ref="U106:U111" si="113">Q106</f>
        <v>6.58</v>
      </c>
      <c r="V106" s="38">
        <f t="shared" ref="V106:V111" si="114">T106*$T$2+$U$2</f>
        <v>6.1535087958096106</v>
      </c>
      <c r="W106" s="38">
        <f t="shared" ref="W106:W111" si="115">U106-V106</f>
        <v>0.42649120419038944</v>
      </c>
      <c r="X106" s="27">
        <f t="shared" si="6"/>
        <v>0</v>
      </c>
      <c r="Y106" s="38">
        <f t="shared" ref="Y106:Z106" si="116">IF($X106=0,T106,"")</f>
        <v>5.9589999999999996</v>
      </c>
      <c r="Z106" s="38">
        <f t="shared" si="116"/>
        <v>6.58</v>
      </c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spans="1:40" ht="14.25" customHeight="1" x14ac:dyDescent="0.45">
      <c r="A107" s="26"/>
      <c r="B107" s="27"/>
      <c r="C107" s="27"/>
      <c r="D107" s="28"/>
      <c r="E107" s="29"/>
      <c r="F107" s="94"/>
      <c r="G107" s="95"/>
      <c r="H107" s="61"/>
      <c r="I107" s="27"/>
      <c r="J107" s="33" t="s">
        <v>51</v>
      </c>
      <c r="K107" s="32">
        <v>4</v>
      </c>
      <c r="L107" s="60"/>
      <c r="M107" s="37">
        <v>27.2</v>
      </c>
      <c r="N107" s="51">
        <v>28.01</v>
      </c>
      <c r="O107" s="37">
        <v>25.8</v>
      </c>
      <c r="P107" s="52">
        <v>28.86</v>
      </c>
      <c r="Q107" s="38">
        <v>6.09</v>
      </c>
      <c r="R107" s="38">
        <v>5.6909999999999998</v>
      </c>
      <c r="S107" s="51">
        <f t="shared" si="96"/>
        <v>5.7639239014984565</v>
      </c>
      <c r="T107" s="38">
        <f t="shared" si="112"/>
        <v>5.6909999999999998</v>
      </c>
      <c r="U107" s="38">
        <f t="shared" si="113"/>
        <v>6.09</v>
      </c>
      <c r="V107" s="38">
        <f t="shared" si="114"/>
        <v>5.9672122019631519</v>
      </c>
      <c r="W107" s="38">
        <f t="shared" si="115"/>
        <v>0.12278779803684792</v>
      </c>
      <c r="X107" s="27">
        <f t="shared" si="6"/>
        <v>0</v>
      </c>
      <c r="Y107" s="38">
        <f t="shared" ref="Y107:Z107" si="117">IF($X107=0,T107,"")</f>
        <v>5.6909999999999998</v>
      </c>
      <c r="Z107" s="38">
        <f t="shared" si="117"/>
        <v>6.09</v>
      </c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spans="1:40" ht="14.25" customHeight="1" x14ac:dyDescent="0.45">
      <c r="A108" s="26"/>
      <c r="B108" s="27"/>
      <c r="C108" s="27"/>
      <c r="D108" s="28"/>
      <c r="E108" s="29"/>
      <c r="F108" s="94"/>
      <c r="G108" s="95"/>
      <c r="H108" s="61"/>
      <c r="I108" s="27"/>
      <c r="J108" s="33" t="s">
        <v>52</v>
      </c>
      <c r="K108" s="32">
        <v>8</v>
      </c>
      <c r="L108" s="60"/>
      <c r="M108" s="37">
        <v>27.3</v>
      </c>
      <c r="N108" s="51">
        <v>28.95</v>
      </c>
      <c r="O108" s="37">
        <v>26.3</v>
      </c>
      <c r="P108" s="52">
        <v>30.17</v>
      </c>
      <c r="Q108" s="38">
        <v>5.81</v>
      </c>
      <c r="R108" s="38">
        <v>4.8719999999999999</v>
      </c>
      <c r="S108" s="51">
        <f t="shared" si="96"/>
        <v>5.1199209723681758</v>
      </c>
      <c r="T108" s="38">
        <f t="shared" si="112"/>
        <v>4.8719999999999999</v>
      </c>
      <c r="U108" s="38">
        <f t="shared" si="113"/>
        <v>5.81</v>
      </c>
      <c r="V108" s="38">
        <f t="shared" si="114"/>
        <v>5.3978953722607272</v>
      </c>
      <c r="W108" s="38">
        <f t="shared" si="115"/>
        <v>0.41210462773927237</v>
      </c>
      <c r="X108" s="27">
        <f t="shared" si="6"/>
        <v>0</v>
      </c>
      <c r="Y108" s="38">
        <f t="shared" ref="Y108:Z108" si="118">IF($X108=0,T108,"")</f>
        <v>4.8719999999999999</v>
      </c>
      <c r="Z108" s="38">
        <f t="shared" si="118"/>
        <v>5.81</v>
      </c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spans="1:40" ht="14.25" customHeight="1" x14ac:dyDescent="0.45">
      <c r="A109" s="26">
        <v>2024</v>
      </c>
      <c r="B109" s="27">
        <v>12</v>
      </c>
      <c r="C109" s="27">
        <v>1</v>
      </c>
      <c r="D109" s="28">
        <v>0.3576388888888889</v>
      </c>
      <c r="E109" s="29">
        <v>18</v>
      </c>
      <c r="F109" s="94" t="s">
        <v>171</v>
      </c>
      <c r="G109" s="95" t="s">
        <v>172</v>
      </c>
      <c r="H109" s="61">
        <v>11.5</v>
      </c>
      <c r="I109" s="27">
        <v>3</v>
      </c>
      <c r="J109" s="33" t="s">
        <v>47</v>
      </c>
      <c r="K109" s="32">
        <v>1</v>
      </c>
      <c r="L109" s="60">
        <v>2</v>
      </c>
      <c r="M109" s="37">
        <v>27.5</v>
      </c>
      <c r="N109" s="51">
        <v>28.15</v>
      </c>
      <c r="O109" s="37">
        <v>26.9</v>
      </c>
      <c r="P109" s="52">
        <v>29.37</v>
      </c>
      <c r="Q109" s="38">
        <v>6.34</v>
      </c>
      <c r="R109" s="38">
        <v>6.6109999999999998</v>
      </c>
      <c r="S109" s="51">
        <f t="shared" si="96"/>
        <v>6.4873459952711769</v>
      </c>
      <c r="T109" s="38">
        <f t="shared" si="112"/>
        <v>6.6109999999999998</v>
      </c>
      <c r="U109" s="38">
        <f t="shared" si="113"/>
        <v>6.34</v>
      </c>
      <c r="V109" s="38">
        <f t="shared" si="114"/>
        <v>6.6067378226301008</v>
      </c>
      <c r="W109" s="38">
        <f t="shared" si="115"/>
        <v>-0.26673782263010093</v>
      </c>
      <c r="X109" s="27">
        <f t="shared" si="6"/>
        <v>0</v>
      </c>
      <c r="Y109" s="38">
        <f t="shared" ref="Y109:Z109" si="119">IF($X109=0,T109,"")</f>
        <v>6.6109999999999998</v>
      </c>
      <c r="Z109" s="38">
        <f t="shared" si="119"/>
        <v>6.34</v>
      </c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spans="1:40" ht="14.25" customHeight="1" x14ac:dyDescent="0.45">
      <c r="A110" s="26"/>
      <c r="B110" s="27"/>
      <c r="C110" s="27"/>
      <c r="D110" s="28"/>
      <c r="E110" s="29"/>
      <c r="F110" s="94"/>
      <c r="G110" s="95"/>
      <c r="H110" s="61"/>
      <c r="I110" s="27"/>
      <c r="J110" s="33" t="s">
        <v>51</v>
      </c>
      <c r="K110" s="32">
        <v>5</v>
      </c>
      <c r="L110" s="60"/>
      <c r="M110" s="37">
        <v>27.4</v>
      </c>
      <c r="N110" s="51">
        <v>28.16</v>
      </c>
      <c r="O110" s="37">
        <v>26.9</v>
      </c>
      <c r="P110" s="52">
        <v>29.37</v>
      </c>
      <c r="Q110" s="38">
        <v>6.6</v>
      </c>
      <c r="R110" s="38">
        <v>6.4870000000000001</v>
      </c>
      <c r="S110" s="51">
        <f t="shared" si="96"/>
        <v>6.3898412782844192</v>
      </c>
      <c r="T110" s="38">
        <f t="shared" si="112"/>
        <v>6.4870000000000001</v>
      </c>
      <c r="U110" s="38">
        <f t="shared" si="113"/>
        <v>6.6</v>
      </c>
      <c r="V110" s="38">
        <f t="shared" si="114"/>
        <v>6.5205408911489036</v>
      </c>
      <c r="W110" s="38">
        <f t="shared" si="115"/>
        <v>7.9459108851096083E-2</v>
      </c>
      <c r="X110" s="27">
        <f t="shared" si="6"/>
        <v>0</v>
      </c>
      <c r="Y110" s="38">
        <f t="shared" ref="Y110:Z110" si="120">IF($X110=0,T110,"")</f>
        <v>6.4870000000000001</v>
      </c>
      <c r="Z110" s="38">
        <f t="shared" si="120"/>
        <v>6.6</v>
      </c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spans="1:40" ht="14.25" customHeight="1" x14ac:dyDescent="0.45">
      <c r="A111" s="26"/>
      <c r="B111" s="27"/>
      <c r="C111" s="27"/>
      <c r="D111" s="28"/>
      <c r="E111" s="29"/>
      <c r="F111" s="94"/>
      <c r="G111" s="95"/>
      <c r="H111" s="61"/>
      <c r="I111" s="27"/>
      <c r="J111" s="33" t="s">
        <v>52</v>
      </c>
      <c r="K111" s="32">
        <v>10</v>
      </c>
      <c r="L111" s="60"/>
      <c r="M111" s="37">
        <v>27.4</v>
      </c>
      <c r="N111" s="51">
        <v>29.15</v>
      </c>
      <c r="O111" s="37">
        <v>27.1</v>
      </c>
      <c r="P111" s="52">
        <v>30.94</v>
      </c>
      <c r="Q111" s="38">
        <v>5.76</v>
      </c>
      <c r="R111" s="38">
        <v>5.0709999999999997</v>
      </c>
      <c r="S111" s="51">
        <f t="shared" si="96"/>
        <v>5.2764003165646658</v>
      </c>
      <c r="T111" s="38">
        <f t="shared" si="112"/>
        <v>5.0709999999999997</v>
      </c>
      <c r="U111" s="38">
        <f t="shared" si="113"/>
        <v>5.76</v>
      </c>
      <c r="V111" s="38">
        <f t="shared" si="114"/>
        <v>5.536227544557164</v>
      </c>
      <c r="W111" s="38">
        <f t="shared" si="115"/>
        <v>0.22377245544283575</v>
      </c>
      <c r="X111" s="27">
        <f t="shared" si="6"/>
        <v>0</v>
      </c>
      <c r="Y111" s="38">
        <f t="shared" ref="Y111:Z111" si="121">IF($X111=0,T111,"")</f>
        <v>5.0709999999999997</v>
      </c>
      <c r="Z111" s="38">
        <f t="shared" si="121"/>
        <v>5.76</v>
      </c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spans="1:40" ht="14.25" customHeight="1" x14ac:dyDescent="0.45">
      <c r="A112" s="26">
        <v>2024</v>
      </c>
      <c r="B112" s="27">
        <v>12</v>
      </c>
      <c r="C112" s="27">
        <v>1</v>
      </c>
      <c r="D112" s="28">
        <v>0.39583333333333331</v>
      </c>
      <c r="E112" s="29">
        <v>17</v>
      </c>
      <c r="F112" s="94" t="s">
        <v>173</v>
      </c>
      <c r="G112" s="95" t="s">
        <v>174</v>
      </c>
      <c r="H112" s="61">
        <v>13.8</v>
      </c>
      <c r="I112" s="27">
        <v>3</v>
      </c>
      <c r="J112" s="33" t="s">
        <v>47</v>
      </c>
      <c r="K112" s="32">
        <v>1</v>
      </c>
      <c r="L112" s="60">
        <v>2.8</v>
      </c>
      <c r="M112" s="37">
        <v>28.3</v>
      </c>
      <c r="N112" s="51">
        <v>28.38</v>
      </c>
      <c r="O112" s="37">
        <v>28.7</v>
      </c>
      <c r="P112" s="52">
        <v>29.94</v>
      </c>
      <c r="Q112" s="38"/>
      <c r="R112" s="38">
        <v>6.9</v>
      </c>
      <c r="S112" s="51">
        <f t="shared" si="96"/>
        <v>6.7145948921193472</v>
      </c>
      <c r="T112" s="38"/>
      <c r="U112" s="38"/>
      <c r="V112" s="38"/>
      <c r="W112" s="38"/>
      <c r="X112" s="27">
        <f t="shared" si="6"/>
        <v>0</v>
      </c>
      <c r="Y112" s="38"/>
      <c r="Z112" s="38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spans="1:40" ht="14.25" customHeight="1" x14ac:dyDescent="0.45">
      <c r="A113" s="26"/>
      <c r="B113" s="27"/>
      <c r="C113" s="27"/>
      <c r="D113" s="28"/>
      <c r="E113" s="29"/>
      <c r="F113" s="94"/>
      <c r="G113" s="95"/>
      <c r="H113" s="61"/>
      <c r="I113" s="27"/>
      <c r="J113" s="33" t="s">
        <v>51</v>
      </c>
      <c r="K113" s="32">
        <v>6</v>
      </c>
      <c r="L113" s="60"/>
      <c r="M113" s="37">
        <v>27.7</v>
      </c>
      <c r="N113" s="51">
        <v>28.37</v>
      </c>
      <c r="O113" s="37">
        <v>27.5</v>
      </c>
      <c r="P113" s="52">
        <v>29.95</v>
      </c>
      <c r="Q113" s="38"/>
      <c r="R113" s="38">
        <v>6.5819999999999999</v>
      </c>
      <c r="S113" s="51">
        <f t="shared" si="96"/>
        <v>6.4645424727500806</v>
      </c>
      <c r="T113" s="38"/>
      <c r="U113" s="38"/>
      <c r="V113" s="38"/>
      <c r="W113" s="38"/>
      <c r="X113" s="27">
        <f t="shared" si="6"/>
        <v>0</v>
      </c>
      <c r="Y113" s="38"/>
      <c r="Z113" s="38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spans="1:40" ht="14.25" customHeight="1" x14ac:dyDescent="0.45">
      <c r="A114" s="26"/>
      <c r="B114" s="27"/>
      <c r="C114" s="27"/>
      <c r="D114" s="28"/>
      <c r="E114" s="29"/>
      <c r="F114" s="94"/>
      <c r="G114" s="95"/>
      <c r="H114" s="61"/>
      <c r="I114" s="27"/>
      <c r="J114" s="33" t="s">
        <v>52</v>
      </c>
      <c r="K114" s="32">
        <v>12</v>
      </c>
      <c r="L114" s="60"/>
      <c r="M114" s="37">
        <v>27.8</v>
      </c>
      <c r="N114" s="51">
        <v>29.2</v>
      </c>
      <c r="O114" s="37">
        <v>27.5</v>
      </c>
      <c r="P114" s="52">
        <v>31.52</v>
      </c>
      <c r="Q114" s="38"/>
      <c r="R114" s="38">
        <v>5.5990000000000002</v>
      </c>
      <c r="S114" s="51">
        <f t="shared" si="96"/>
        <v>5.6915816921211846</v>
      </c>
      <c r="T114" s="38"/>
      <c r="U114" s="38"/>
      <c r="V114" s="38"/>
      <c r="W114" s="38"/>
      <c r="X114" s="27">
        <f t="shared" si="6"/>
        <v>0</v>
      </c>
      <c r="Y114" s="38"/>
      <c r="Z114" s="38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spans="1:40" ht="14.25" customHeight="1" x14ac:dyDescent="0.45">
      <c r="A115" s="26">
        <v>2024</v>
      </c>
      <c r="B115" s="27">
        <v>12</v>
      </c>
      <c r="C115" s="27">
        <v>1</v>
      </c>
      <c r="D115" s="28">
        <v>0.41666666666666669</v>
      </c>
      <c r="E115" s="29">
        <v>16</v>
      </c>
      <c r="F115" s="94" t="s">
        <v>175</v>
      </c>
      <c r="G115" s="95" t="s">
        <v>176</v>
      </c>
      <c r="H115" s="61">
        <v>15.7</v>
      </c>
      <c r="I115" s="27">
        <v>3</v>
      </c>
      <c r="J115" s="33" t="s">
        <v>47</v>
      </c>
      <c r="K115" s="32">
        <v>1</v>
      </c>
      <c r="L115" s="60">
        <v>2</v>
      </c>
      <c r="M115" s="37">
        <v>27.8</v>
      </c>
      <c r="N115" s="51">
        <v>28.46</v>
      </c>
      <c r="O115" s="37">
        <v>27.8</v>
      </c>
      <c r="P115" s="52">
        <v>30.32</v>
      </c>
      <c r="Q115" s="38">
        <v>6.62</v>
      </c>
      <c r="R115" s="38">
        <v>7.0670000000000002</v>
      </c>
      <c r="S115" s="51">
        <f t="shared" si="96"/>
        <v>6.8459117287063522</v>
      </c>
      <c r="T115" s="38">
        <f t="shared" ref="T115:T117" si="122">R115</f>
        <v>7.0670000000000002</v>
      </c>
      <c r="U115" s="38">
        <f t="shared" ref="U115:U117" si="123">Q115</f>
        <v>6.62</v>
      </c>
      <c r="V115" s="38">
        <f t="shared" ref="V115:V117" si="124">T115*$T$2+$U$2</f>
        <v>6.9237200867867621</v>
      </c>
      <c r="W115" s="38">
        <f t="shared" ref="W115:W117" si="125">U115-V115</f>
        <v>-0.30372008678676199</v>
      </c>
      <c r="X115" s="27">
        <f t="shared" si="6"/>
        <v>0</v>
      </c>
      <c r="Y115" s="38">
        <f t="shared" ref="Y115:Z115" si="126">IF($X115=0,T115,"")</f>
        <v>7.0670000000000002</v>
      </c>
      <c r="Z115" s="38">
        <f t="shared" si="126"/>
        <v>6.62</v>
      </c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spans="1:40" ht="14.25" customHeight="1" x14ac:dyDescent="0.45">
      <c r="A116" s="26"/>
      <c r="B116" s="27"/>
      <c r="C116" s="27"/>
      <c r="D116" s="28"/>
      <c r="E116" s="29"/>
      <c r="F116" s="94"/>
      <c r="G116" s="95"/>
      <c r="H116" s="61"/>
      <c r="I116" s="27"/>
      <c r="J116" s="33" t="s">
        <v>51</v>
      </c>
      <c r="K116" s="32">
        <v>7</v>
      </c>
      <c r="L116" s="60"/>
      <c r="M116" s="37">
        <v>27.7</v>
      </c>
      <c r="N116" s="51">
        <v>28.47</v>
      </c>
      <c r="O116" s="38">
        <v>27.8</v>
      </c>
      <c r="P116" s="43">
        <v>30.39</v>
      </c>
      <c r="Q116" s="38">
        <v>7.08</v>
      </c>
      <c r="R116" s="38">
        <v>6.81</v>
      </c>
      <c r="S116" s="51">
        <f t="shared" si="96"/>
        <v>6.6438253394676678</v>
      </c>
      <c r="T116" s="38">
        <f t="shared" si="122"/>
        <v>6.81</v>
      </c>
      <c r="U116" s="38">
        <f t="shared" si="123"/>
        <v>7.08</v>
      </c>
      <c r="V116" s="38">
        <f t="shared" si="124"/>
        <v>6.7450699949265385</v>
      </c>
      <c r="W116" s="38">
        <f t="shared" si="125"/>
        <v>0.3349300050734616</v>
      </c>
      <c r="X116" s="27">
        <f t="shared" si="6"/>
        <v>0</v>
      </c>
      <c r="Y116" s="38">
        <f t="shared" ref="Y116:Z116" si="127">IF($X116=0,T116,"")</f>
        <v>6.81</v>
      </c>
      <c r="Z116" s="38">
        <f t="shared" si="127"/>
        <v>7.08</v>
      </c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spans="1:40" ht="14.25" customHeight="1" x14ac:dyDescent="0.45">
      <c r="A117" s="26"/>
      <c r="B117" s="27"/>
      <c r="C117" s="27"/>
      <c r="D117" s="28"/>
      <c r="E117" s="29"/>
      <c r="F117" s="94"/>
      <c r="G117" s="95"/>
      <c r="H117" s="61"/>
      <c r="I117" s="27"/>
      <c r="J117" s="33" t="s">
        <v>52</v>
      </c>
      <c r="K117" s="32">
        <v>14</v>
      </c>
      <c r="L117" s="60"/>
      <c r="M117" s="37">
        <v>27.8</v>
      </c>
      <c r="N117" s="51">
        <v>28.96</v>
      </c>
      <c r="O117" s="38">
        <v>28.4</v>
      </c>
      <c r="P117" s="52">
        <v>31.65</v>
      </c>
      <c r="Q117" s="38">
        <v>6.62</v>
      </c>
      <c r="R117" s="38">
        <v>6.0780000000000003</v>
      </c>
      <c r="S117" s="51">
        <f t="shared" si="96"/>
        <v>6.0682329779006769</v>
      </c>
      <c r="T117" s="38">
        <f t="shared" si="122"/>
        <v>6.0780000000000003</v>
      </c>
      <c r="U117" s="38">
        <f t="shared" si="123"/>
        <v>6.62</v>
      </c>
      <c r="V117" s="38">
        <f t="shared" si="124"/>
        <v>6.2362300445697922</v>
      </c>
      <c r="W117" s="38">
        <f t="shared" si="125"/>
        <v>0.38376995543020787</v>
      </c>
      <c r="X117" s="27">
        <f t="shared" si="6"/>
        <v>0</v>
      </c>
      <c r="Y117" s="38">
        <f t="shared" ref="Y117:Z117" si="128">IF($X117=0,T117,"")</f>
        <v>6.0780000000000003</v>
      </c>
      <c r="Z117" s="38">
        <f t="shared" si="128"/>
        <v>6.62</v>
      </c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spans="1:40" ht="14.25" customHeight="1" x14ac:dyDescent="0.45">
      <c r="A118" s="26">
        <v>2024</v>
      </c>
      <c r="B118" s="27">
        <v>12</v>
      </c>
      <c r="C118" s="27">
        <v>1</v>
      </c>
      <c r="D118" s="28">
        <v>0.46180555555555558</v>
      </c>
      <c r="E118" s="29">
        <v>15</v>
      </c>
      <c r="F118" s="94" t="s">
        <v>177</v>
      </c>
      <c r="G118" s="95" t="s">
        <v>178</v>
      </c>
      <c r="H118" s="61">
        <v>11.1</v>
      </c>
      <c r="I118" s="27">
        <v>3</v>
      </c>
      <c r="J118" s="33" t="s">
        <v>47</v>
      </c>
      <c r="K118" s="32">
        <v>1</v>
      </c>
      <c r="L118" s="60">
        <v>2.5</v>
      </c>
      <c r="M118" s="37">
        <v>28</v>
      </c>
      <c r="N118" s="51">
        <v>28.56</v>
      </c>
      <c r="O118" s="38">
        <v>28</v>
      </c>
      <c r="P118" s="52">
        <v>30.67</v>
      </c>
      <c r="Q118" s="38"/>
      <c r="R118" s="38">
        <v>7.33</v>
      </c>
      <c r="S118" s="51">
        <f t="shared" si="96"/>
        <v>7.0527160881218149</v>
      </c>
      <c r="T118" s="38"/>
      <c r="U118" s="38"/>
      <c r="V118" s="38"/>
      <c r="W118" s="38"/>
      <c r="X118" s="27">
        <f t="shared" si="6"/>
        <v>0</v>
      </c>
      <c r="Y118" s="38"/>
      <c r="Z118" s="38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spans="1:40" ht="14.25" customHeight="1" x14ac:dyDescent="0.45">
      <c r="A119" s="26"/>
      <c r="B119" s="27"/>
      <c r="C119" s="27"/>
      <c r="D119" s="28"/>
      <c r="E119" s="29"/>
      <c r="F119" s="94"/>
      <c r="G119" s="95"/>
      <c r="H119" s="61"/>
      <c r="I119" s="27"/>
      <c r="J119" s="33" t="s">
        <v>51</v>
      </c>
      <c r="K119" s="32">
        <v>5</v>
      </c>
      <c r="L119" s="60"/>
      <c r="M119" s="37">
        <v>28.1</v>
      </c>
      <c r="N119" s="51">
        <v>28.54</v>
      </c>
      <c r="O119" s="38">
        <v>28.1</v>
      </c>
      <c r="P119" s="43">
        <v>30.69</v>
      </c>
      <c r="R119" s="38">
        <v>7.2670000000000003</v>
      </c>
      <c r="S119" s="51">
        <f t="shared" si="96"/>
        <v>7.0031774012656394</v>
      </c>
      <c r="T119" s="38"/>
      <c r="U119" s="38"/>
      <c r="V119" s="38"/>
      <c r="W119" s="38"/>
      <c r="X119" s="27">
        <f t="shared" si="6"/>
        <v>0</v>
      </c>
      <c r="Y119" s="38"/>
      <c r="Z119" s="38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spans="1:40" ht="14.25" customHeight="1" x14ac:dyDescent="0.45">
      <c r="A120" s="26"/>
      <c r="B120" s="27"/>
      <c r="C120" s="27"/>
      <c r="D120" s="28"/>
      <c r="E120" s="29"/>
      <c r="F120" s="94"/>
      <c r="G120" s="95"/>
      <c r="H120" s="61"/>
      <c r="I120" s="27"/>
      <c r="J120" s="33" t="s">
        <v>52</v>
      </c>
      <c r="K120" s="32">
        <v>10</v>
      </c>
      <c r="L120" s="60"/>
      <c r="M120" s="37">
        <v>28.1</v>
      </c>
      <c r="N120" s="51">
        <v>28.54</v>
      </c>
      <c r="O120" s="38">
        <v>28.1</v>
      </c>
      <c r="P120" s="52">
        <v>30.78</v>
      </c>
      <c r="Q120" s="38"/>
      <c r="R120" s="38">
        <v>6.6689999999999996</v>
      </c>
      <c r="S120" s="51">
        <f t="shared" si="96"/>
        <v>6.5329530403133704</v>
      </c>
      <c r="T120" s="38"/>
      <c r="U120" s="38"/>
      <c r="V120" s="38"/>
      <c r="W120" s="38"/>
      <c r="X120" s="27">
        <f t="shared" si="6"/>
        <v>0</v>
      </c>
      <c r="Y120" s="38"/>
      <c r="Z120" s="38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spans="1:40" ht="14.25" customHeight="1" x14ac:dyDescent="0.45">
      <c r="A121" s="26">
        <v>2024</v>
      </c>
      <c r="B121" s="27">
        <v>12</v>
      </c>
      <c r="C121" s="27">
        <v>1</v>
      </c>
      <c r="D121" s="28">
        <v>0.4826388888888889</v>
      </c>
      <c r="E121" s="29">
        <v>14</v>
      </c>
      <c r="F121" s="94" t="s">
        <v>179</v>
      </c>
      <c r="G121" s="95" t="s">
        <v>180</v>
      </c>
      <c r="H121" s="61">
        <v>19.7</v>
      </c>
      <c r="I121" s="27">
        <v>3</v>
      </c>
      <c r="J121" s="33" t="s">
        <v>47</v>
      </c>
      <c r="K121" s="32">
        <v>1</v>
      </c>
      <c r="L121" s="60">
        <v>2.4</v>
      </c>
      <c r="M121" s="37">
        <v>28.1</v>
      </c>
      <c r="N121" s="51">
        <v>28.55</v>
      </c>
      <c r="O121" s="38">
        <v>28.1</v>
      </c>
      <c r="P121" s="52">
        <v>30.81</v>
      </c>
      <c r="Q121" s="38">
        <v>7.75</v>
      </c>
      <c r="R121" s="38">
        <v>8.14</v>
      </c>
      <c r="S121" s="51">
        <f t="shared" si="96"/>
        <v>7.6896420619869277</v>
      </c>
      <c r="T121" s="38">
        <f t="shared" ref="T121:T123" si="129">R121</f>
        <v>8.14</v>
      </c>
      <c r="U121" s="38">
        <f t="shared" ref="U121:U123" si="130">Q121</f>
        <v>7.75</v>
      </c>
      <c r="V121" s="38">
        <f t="shared" ref="V121:V123" si="131">T121*$T$2+$U$2</f>
        <v>7.6696015987168016</v>
      </c>
      <c r="W121" s="38">
        <f t="shared" ref="W121:W123" si="132">U121-V121</f>
        <v>8.0398401283198417E-2</v>
      </c>
      <c r="X121" s="27">
        <f t="shared" si="6"/>
        <v>0</v>
      </c>
      <c r="Y121" s="38">
        <f t="shared" ref="Y121:Z121" si="133">IF($X121=0,T121,"")</f>
        <v>8.14</v>
      </c>
      <c r="Z121" s="38">
        <f t="shared" si="133"/>
        <v>7.75</v>
      </c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spans="1:40" ht="14.25" customHeight="1" x14ac:dyDescent="0.45">
      <c r="A122" s="26"/>
      <c r="B122" s="27"/>
      <c r="C122" s="27"/>
      <c r="D122" s="28"/>
      <c r="E122" s="29"/>
      <c r="F122" s="94"/>
      <c r="G122" s="95"/>
      <c r="H122" s="61"/>
      <c r="I122" s="27"/>
      <c r="J122" s="33" t="s">
        <v>51</v>
      </c>
      <c r="K122" s="32">
        <v>9.5</v>
      </c>
      <c r="L122" s="60"/>
      <c r="M122" s="37">
        <v>28</v>
      </c>
      <c r="N122" s="51">
        <v>28.55</v>
      </c>
      <c r="O122" s="37">
        <v>28.2</v>
      </c>
      <c r="P122" s="52">
        <v>31.08</v>
      </c>
      <c r="Q122" s="38">
        <v>7.54</v>
      </c>
      <c r="R122" s="38">
        <v>7.0519999999999996</v>
      </c>
      <c r="S122" s="51">
        <f t="shared" si="96"/>
        <v>6.8341168032644051</v>
      </c>
      <c r="T122" s="38">
        <f t="shared" si="129"/>
        <v>7.0519999999999996</v>
      </c>
      <c r="U122" s="38">
        <f t="shared" si="130"/>
        <v>7.54</v>
      </c>
      <c r="V122" s="38">
        <f t="shared" si="131"/>
        <v>6.9132930386237144</v>
      </c>
      <c r="W122" s="38">
        <f t="shared" si="132"/>
        <v>0.62670696137628568</v>
      </c>
      <c r="X122" s="27">
        <f t="shared" si="6"/>
        <v>0</v>
      </c>
      <c r="Y122" s="38">
        <f t="shared" ref="Y122:Z122" si="134">IF($X122=0,T122,"")</f>
        <v>7.0519999999999996</v>
      </c>
      <c r="Z122" s="38">
        <f t="shared" si="134"/>
        <v>7.54</v>
      </c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spans="1:40" ht="14.25" customHeight="1" x14ac:dyDescent="0.45">
      <c r="A123" s="26"/>
      <c r="B123" s="27"/>
      <c r="C123" s="27"/>
      <c r="D123" s="28"/>
      <c r="E123" s="29"/>
      <c r="F123" s="94"/>
      <c r="G123" s="95"/>
      <c r="H123" s="61"/>
      <c r="I123" s="27"/>
      <c r="J123" s="33" t="s">
        <v>52</v>
      </c>
      <c r="K123" s="32">
        <v>18</v>
      </c>
      <c r="L123" s="60"/>
      <c r="M123" s="37">
        <v>27.8</v>
      </c>
      <c r="N123" s="51">
        <v>28.99</v>
      </c>
      <c r="O123" s="37">
        <v>28.3</v>
      </c>
      <c r="P123" s="52">
        <v>31.75</v>
      </c>
      <c r="Q123" s="38">
        <v>6.84</v>
      </c>
      <c r="R123" s="38">
        <v>6.673</v>
      </c>
      <c r="S123" s="51">
        <f t="shared" si="96"/>
        <v>6.5360983537645563</v>
      </c>
      <c r="T123" s="38">
        <f t="shared" si="129"/>
        <v>6.673</v>
      </c>
      <c r="U123" s="38">
        <f t="shared" si="130"/>
        <v>6.84</v>
      </c>
      <c r="V123" s="38">
        <f t="shared" si="131"/>
        <v>6.6498362883706994</v>
      </c>
      <c r="W123" s="38">
        <f t="shared" si="132"/>
        <v>0.19016371162930046</v>
      </c>
      <c r="X123" s="27">
        <f t="shared" si="6"/>
        <v>0</v>
      </c>
      <c r="Y123" s="38"/>
      <c r="Z123" s="38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spans="1:40" ht="14.25" customHeight="1" x14ac:dyDescent="0.45">
      <c r="A124" s="26">
        <v>2024</v>
      </c>
      <c r="B124" s="27">
        <v>12</v>
      </c>
      <c r="C124" s="27">
        <v>1</v>
      </c>
      <c r="D124" s="28">
        <v>0.51458333333333328</v>
      </c>
      <c r="E124" s="29" t="s">
        <v>82</v>
      </c>
      <c r="F124" s="94" t="s">
        <v>181</v>
      </c>
      <c r="G124" s="95" t="s">
        <v>182</v>
      </c>
      <c r="H124" s="61">
        <v>18.5</v>
      </c>
      <c r="I124" s="27">
        <v>3</v>
      </c>
      <c r="J124" s="33" t="s">
        <v>47</v>
      </c>
      <c r="K124" s="32">
        <v>1</v>
      </c>
      <c r="L124" s="60">
        <v>3.3</v>
      </c>
      <c r="M124" s="37">
        <v>28.3</v>
      </c>
      <c r="N124" s="51">
        <v>28.84</v>
      </c>
      <c r="O124" s="37">
        <v>28.2</v>
      </c>
      <c r="P124" s="52">
        <v>30.8</v>
      </c>
      <c r="Q124" s="38"/>
      <c r="R124" s="38">
        <v>8.41</v>
      </c>
      <c r="S124" s="51">
        <f t="shared" si="96"/>
        <v>7.901950719941965</v>
      </c>
      <c r="T124" s="38"/>
      <c r="U124" s="38"/>
      <c r="V124" s="38"/>
      <c r="W124" s="38"/>
      <c r="X124" s="27">
        <f t="shared" si="6"/>
        <v>0</v>
      </c>
      <c r="Y124" s="38"/>
      <c r="Z124" s="38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spans="1:40" ht="14.25" customHeight="1" x14ac:dyDescent="0.45">
      <c r="A125" s="26"/>
      <c r="C125" s="27"/>
      <c r="D125" s="28"/>
      <c r="E125" s="29"/>
      <c r="F125" s="94"/>
      <c r="G125" s="95"/>
      <c r="H125" s="61"/>
      <c r="I125" s="27"/>
      <c r="J125" s="33" t="s">
        <v>51</v>
      </c>
      <c r="K125" s="32">
        <v>9</v>
      </c>
      <c r="L125" s="60"/>
      <c r="M125" s="37">
        <v>28.2</v>
      </c>
      <c r="N125" s="51">
        <v>28.71</v>
      </c>
      <c r="O125" s="37">
        <v>28.3</v>
      </c>
      <c r="P125" s="52">
        <v>30.9</v>
      </c>
      <c r="Q125" s="38"/>
      <c r="R125" s="38">
        <v>7.3239999999999998</v>
      </c>
      <c r="S125" s="51">
        <f t="shared" si="96"/>
        <v>7.0479981179450357</v>
      </c>
      <c r="T125" s="38"/>
      <c r="U125" s="38"/>
      <c r="V125" s="38"/>
      <c r="W125" s="38"/>
      <c r="X125" s="27">
        <f t="shared" si="6"/>
        <v>0</v>
      </c>
      <c r="Y125" s="38"/>
      <c r="Z125" s="38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spans="1:40" ht="14.25" customHeight="1" x14ac:dyDescent="0.45">
      <c r="A126" s="26"/>
      <c r="C126" s="27"/>
      <c r="D126" s="28"/>
      <c r="E126" s="29"/>
      <c r="F126" s="94"/>
      <c r="G126" s="95"/>
      <c r="H126" s="61"/>
      <c r="I126" s="27"/>
      <c r="J126" s="33" t="s">
        <v>52</v>
      </c>
      <c r="K126" s="32">
        <v>17</v>
      </c>
      <c r="L126" s="60"/>
      <c r="M126" s="37">
        <v>28.3</v>
      </c>
      <c r="N126" s="51">
        <v>28.92</v>
      </c>
      <c r="O126" s="37">
        <v>28.3</v>
      </c>
      <c r="P126" s="52">
        <v>31.24</v>
      </c>
      <c r="Q126" s="38"/>
      <c r="R126" s="38">
        <v>6.15</v>
      </c>
      <c r="S126" s="51">
        <f t="shared" si="96"/>
        <v>6.1248486200220205</v>
      </c>
      <c r="T126" s="38"/>
      <c r="U126" s="38"/>
      <c r="V126" s="38"/>
      <c r="W126" s="38"/>
      <c r="X126" s="27">
        <f t="shared" si="6"/>
        <v>0</v>
      </c>
      <c r="Y126" s="38"/>
      <c r="Z126" s="38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spans="1:40" ht="14.25" customHeight="1" x14ac:dyDescent="0.45">
      <c r="A127" s="26">
        <v>2024</v>
      </c>
      <c r="B127" s="27">
        <v>12</v>
      </c>
      <c r="C127" s="27">
        <v>1</v>
      </c>
      <c r="D127" s="28">
        <v>0.54166666666666663</v>
      </c>
      <c r="E127" s="29">
        <v>11</v>
      </c>
      <c r="F127" s="94" t="s">
        <v>183</v>
      </c>
      <c r="G127" s="95" t="s">
        <v>184</v>
      </c>
      <c r="H127" s="61">
        <v>16.3</v>
      </c>
      <c r="I127" s="27">
        <v>3</v>
      </c>
      <c r="J127" s="33" t="s">
        <v>47</v>
      </c>
      <c r="K127" s="32">
        <v>1</v>
      </c>
      <c r="L127" s="60">
        <v>2.6</v>
      </c>
      <c r="M127" s="37">
        <v>28.6</v>
      </c>
      <c r="N127" s="51">
        <v>28.86</v>
      </c>
      <c r="O127" s="37">
        <v>27</v>
      </c>
      <c r="P127" s="52">
        <v>29.47</v>
      </c>
      <c r="Q127" s="38">
        <v>7.93</v>
      </c>
      <c r="R127" s="38">
        <v>8.4269999999999996</v>
      </c>
      <c r="S127" s="51">
        <f t="shared" si="96"/>
        <v>7.9153183021095046</v>
      </c>
      <c r="T127" s="38">
        <f t="shared" ref="T127:T129" si="135">R127</f>
        <v>8.4269999999999996</v>
      </c>
      <c r="U127" s="38">
        <f t="shared" ref="U127:U129" si="136">Q127</f>
        <v>7.93</v>
      </c>
      <c r="V127" s="38">
        <f t="shared" ref="V127:V129" si="137">T127*$T$2+$U$2</f>
        <v>7.8691057869031216</v>
      </c>
      <c r="W127" s="38">
        <f t="shared" ref="W127:W129" si="138">U127-V127</f>
        <v>6.0894213096878147E-2</v>
      </c>
      <c r="X127" s="27">
        <f t="shared" si="6"/>
        <v>0</v>
      </c>
      <c r="Y127" s="38">
        <f t="shared" ref="Y127:Z127" si="139">IF($X127=0,T127,"")</f>
        <v>8.4269999999999996</v>
      </c>
      <c r="Z127" s="38">
        <f t="shared" si="139"/>
        <v>7.93</v>
      </c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spans="1:40" ht="14.25" customHeight="1" x14ac:dyDescent="0.45">
      <c r="A128" s="26"/>
      <c r="C128" s="27"/>
      <c r="D128" s="28"/>
      <c r="E128" s="29"/>
      <c r="F128" s="94"/>
      <c r="G128" s="95"/>
      <c r="H128" s="61"/>
      <c r="I128" s="27"/>
      <c r="J128" s="33" t="s">
        <v>51</v>
      </c>
      <c r="K128" s="32">
        <v>8</v>
      </c>
      <c r="L128" s="60"/>
      <c r="M128" s="37">
        <v>28.5</v>
      </c>
      <c r="N128" s="51">
        <v>28.95</v>
      </c>
      <c r="O128" s="37">
        <v>28.2</v>
      </c>
      <c r="P128" s="52">
        <v>30.19</v>
      </c>
      <c r="Q128" s="38">
        <v>6.3</v>
      </c>
      <c r="R128" s="38">
        <v>6.5810000000000004</v>
      </c>
      <c r="S128" s="51">
        <f t="shared" si="96"/>
        <v>6.4637561443872844</v>
      </c>
      <c r="T128" s="38">
        <f t="shared" si="135"/>
        <v>6.5810000000000004</v>
      </c>
      <c r="U128" s="38">
        <f t="shared" si="136"/>
        <v>6.3</v>
      </c>
      <c r="V128" s="38">
        <f t="shared" si="137"/>
        <v>6.5858837263040044</v>
      </c>
      <c r="W128" s="38">
        <f t="shared" si="138"/>
        <v>-0.2858837263040046</v>
      </c>
      <c r="X128" s="27">
        <f t="shared" si="6"/>
        <v>0</v>
      </c>
      <c r="Y128" s="38">
        <f t="shared" ref="Y128:Z128" si="140">IF($X128=0,T128,"")</f>
        <v>6.5810000000000004</v>
      </c>
      <c r="Z128" s="38">
        <f t="shared" si="140"/>
        <v>6.3</v>
      </c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spans="1:40" ht="14.25" customHeight="1" x14ac:dyDescent="0.45">
      <c r="A129" s="26"/>
      <c r="C129" s="27"/>
      <c r="D129" s="28"/>
      <c r="E129" s="29"/>
      <c r="F129" s="94"/>
      <c r="G129" s="95"/>
      <c r="H129" s="61"/>
      <c r="I129" s="27"/>
      <c r="J129" s="33" t="s">
        <v>52</v>
      </c>
      <c r="K129" s="32">
        <v>15</v>
      </c>
      <c r="L129" s="60"/>
      <c r="M129" s="37">
        <v>28.5</v>
      </c>
      <c r="N129" s="51">
        <v>29.1</v>
      </c>
      <c r="O129" s="37">
        <v>27.2</v>
      </c>
      <c r="P129" s="52">
        <v>30.88</v>
      </c>
      <c r="Q129" s="38">
        <v>6.49</v>
      </c>
      <c r="R129" s="38">
        <v>5.88</v>
      </c>
      <c r="S129" s="51">
        <f t="shared" si="96"/>
        <v>5.9125399620669823</v>
      </c>
      <c r="T129" s="38">
        <f t="shared" si="135"/>
        <v>5.88</v>
      </c>
      <c r="U129" s="38">
        <f t="shared" si="136"/>
        <v>6.49</v>
      </c>
      <c r="V129" s="38">
        <f t="shared" si="137"/>
        <v>6.0985930088175575</v>
      </c>
      <c r="W129" s="38">
        <f t="shared" si="138"/>
        <v>0.39140699118244271</v>
      </c>
      <c r="X129" s="27">
        <f t="shared" si="6"/>
        <v>0</v>
      </c>
      <c r="Y129" s="38">
        <f t="shared" ref="Y129:Z129" si="141">IF($X129=0,T129,"")</f>
        <v>5.88</v>
      </c>
      <c r="Z129" s="38">
        <f t="shared" si="141"/>
        <v>6.49</v>
      </c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spans="1:40" ht="14.25" customHeight="1" x14ac:dyDescent="0.45">
      <c r="A130" s="26">
        <v>2024</v>
      </c>
      <c r="B130" s="27">
        <v>12</v>
      </c>
      <c r="C130" s="27">
        <v>1</v>
      </c>
      <c r="D130" s="28">
        <v>0.56597222222222221</v>
      </c>
      <c r="E130" s="29">
        <v>10</v>
      </c>
      <c r="F130" s="94" t="s">
        <v>185</v>
      </c>
      <c r="G130" s="95" t="s">
        <v>186</v>
      </c>
      <c r="H130" s="61">
        <v>16.5</v>
      </c>
      <c r="I130" s="27">
        <v>3</v>
      </c>
      <c r="J130" s="33" t="s">
        <v>47</v>
      </c>
      <c r="K130" s="32">
        <v>1</v>
      </c>
      <c r="L130" s="60">
        <v>2.2999999999999998</v>
      </c>
      <c r="M130" s="37">
        <v>28.4</v>
      </c>
      <c r="N130" s="51">
        <v>28.85</v>
      </c>
      <c r="O130" s="37">
        <v>26.8</v>
      </c>
      <c r="P130" s="52">
        <v>29.36</v>
      </c>
      <c r="Q130" s="38"/>
      <c r="R130" s="38">
        <v>8.3840000000000003</v>
      </c>
      <c r="S130" s="51">
        <f t="shared" si="96"/>
        <v>7.8815061825092583</v>
      </c>
      <c r="T130" s="38"/>
      <c r="U130" s="38"/>
      <c r="V130" s="38"/>
      <c r="W130" s="38"/>
      <c r="X130" s="27">
        <f t="shared" si="6"/>
        <v>0</v>
      </c>
      <c r="Y130" s="38"/>
      <c r="Z130" s="38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spans="1:40" ht="14.25" customHeight="1" x14ac:dyDescent="0.45">
      <c r="A131" s="26"/>
      <c r="B131" s="27"/>
      <c r="C131" s="27"/>
      <c r="D131" s="28"/>
      <c r="E131" s="29"/>
      <c r="F131" s="94"/>
      <c r="G131" s="95"/>
      <c r="H131" s="61"/>
      <c r="I131" s="27"/>
      <c r="J131" s="33" t="s">
        <v>51</v>
      </c>
      <c r="K131" s="32">
        <v>8</v>
      </c>
      <c r="L131" s="60"/>
      <c r="M131" s="37">
        <v>28.6</v>
      </c>
      <c r="N131" s="51">
        <v>28.97</v>
      </c>
      <c r="O131" s="37">
        <v>27.9</v>
      </c>
      <c r="P131" s="52">
        <v>30.43</v>
      </c>
      <c r="Q131" s="38"/>
      <c r="R131" s="38">
        <v>6.4539999999999997</v>
      </c>
      <c r="S131" s="51">
        <f t="shared" si="96"/>
        <v>6.3638924423121361</v>
      </c>
      <c r="T131" s="38"/>
      <c r="U131" s="38"/>
      <c r="V131" s="38"/>
      <c r="W131" s="38"/>
      <c r="X131" s="27">
        <f t="shared" si="6"/>
        <v>0</v>
      </c>
      <c r="Y131" s="38"/>
      <c r="Z131" s="38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spans="1:40" ht="14.25" customHeight="1" x14ac:dyDescent="0.45">
      <c r="A132" s="26"/>
      <c r="C132" s="27"/>
      <c r="D132" s="28"/>
      <c r="E132" s="29"/>
      <c r="F132" s="94"/>
      <c r="G132" s="95"/>
      <c r="H132" s="61"/>
      <c r="I132" s="27"/>
      <c r="J132" s="33" t="s">
        <v>52</v>
      </c>
      <c r="K132" s="32">
        <v>15</v>
      </c>
      <c r="L132" s="60"/>
      <c r="M132" s="37">
        <v>28.5</v>
      </c>
      <c r="N132" s="51">
        <v>29.07</v>
      </c>
      <c r="O132" s="37">
        <v>28.2</v>
      </c>
      <c r="P132" s="52">
        <v>30.78</v>
      </c>
      <c r="Q132" s="38"/>
      <c r="R132" s="38">
        <v>5.8890000000000002</v>
      </c>
      <c r="S132" s="51">
        <f t="shared" si="96"/>
        <v>5.9196169173321511</v>
      </c>
      <c r="T132" s="38"/>
      <c r="U132" s="38"/>
      <c r="V132" s="38"/>
      <c r="W132" s="38"/>
      <c r="X132" s="27">
        <f t="shared" si="6"/>
        <v>0</v>
      </c>
      <c r="Y132" s="38"/>
      <c r="Z132" s="38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spans="1:40" ht="14.25" customHeight="1" x14ac:dyDescent="0.45">
      <c r="A133" s="26">
        <v>2024</v>
      </c>
      <c r="B133" s="27">
        <v>12</v>
      </c>
      <c r="C133" s="27">
        <v>1</v>
      </c>
      <c r="D133" s="28">
        <v>0.58680555555555558</v>
      </c>
      <c r="E133" s="29">
        <v>9</v>
      </c>
      <c r="F133" s="94" t="s">
        <v>187</v>
      </c>
      <c r="G133" s="95" t="s">
        <v>188</v>
      </c>
      <c r="H133" s="61">
        <v>15.7</v>
      </c>
      <c r="I133" s="27">
        <v>3</v>
      </c>
      <c r="J133" s="33" t="s">
        <v>47</v>
      </c>
      <c r="K133" s="32">
        <v>1</v>
      </c>
      <c r="L133" s="60">
        <v>2.2000000000000002</v>
      </c>
      <c r="M133" s="37">
        <v>29</v>
      </c>
      <c r="N133" s="51">
        <v>29.08</v>
      </c>
      <c r="O133" s="37">
        <v>26.9</v>
      </c>
      <c r="P133" s="52">
        <v>29.4</v>
      </c>
      <c r="Q133" s="38">
        <v>9.4600000000000009</v>
      </c>
      <c r="R133" s="38">
        <v>10.483000000000001</v>
      </c>
      <c r="S133" s="51">
        <f t="shared" si="96"/>
        <v>9.5320094160189761</v>
      </c>
      <c r="T133" s="38">
        <f t="shared" ref="T133:T135" si="142">R133</f>
        <v>10.483000000000001</v>
      </c>
      <c r="U133" s="38">
        <f t="shared" ref="U133:U135" si="143">Q133</f>
        <v>9.4600000000000009</v>
      </c>
      <c r="V133" s="38">
        <f t="shared" ref="V133:V135" si="144">T133*$T$2+$U$2</f>
        <v>9.2983065217849123</v>
      </c>
      <c r="W133" s="38">
        <f t="shared" ref="W133:W135" si="145">U133-V133</f>
        <v>0.1616934782150885</v>
      </c>
      <c r="X133" s="27">
        <f t="shared" si="6"/>
        <v>0</v>
      </c>
      <c r="Y133" s="38">
        <f t="shared" ref="Y133:Z133" si="146">IF($X133=0,T133,"")</f>
        <v>10.483000000000001</v>
      </c>
      <c r="Z133" s="38">
        <f t="shared" si="146"/>
        <v>9.4600000000000009</v>
      </c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spans="1:40" ht="14.25" customHeight="1" x14ac:dyDescent="0.45">
      <c r="A134" s="26"/>
      <c r="B134" s="27"/>
      <c r="C134" s="27"/>
      <c r="D134" s="28"/>
      <c r="E134" s="29"/>
      <c r="F134" s="94"/>
      <c r="G134" s="95"/>
      <c r="H134" s="61"/>
      <c r="I134" s="27"/>
      <c r="J134" s="33" t="s">
        <v>51</v>
      </c>
      <c r="K134" s="32">
        <v>7</v>
      </c>
      <c r="L134" s="60"/>
      <c r="M134" s="37">
        <v>28.5</v>
      </c>
      <c r="N134" s="51">
        <v>28.61</v>
      </c>
      <c r="O134" s="37">
        <v>27.1</v>
      </c>
      <c r="P134" s="52">
        <v>29.81</v>
      </c>
      <c r="Q134" s="38">
        <v>7.64</v>
      </c>
      <c r="R134" s="38">
        <v>7.2270000000000003</v>
      </c>
      <c r="S134" s="51">
        <f t="shared" si="96"/>
        <v>6.9717242667537818</v>
      </c>
      <c r="T134" s="38">
        <f t="shared" si="142"/>
        <v>7.2270000000000003</v>
      </c>
      <c r="U134" s="38">
        <f t="shared" si="143"/>
        <v>7.64</v>
      </c>
      <c r="V134" s="38">
        <f t="shared" si="144"/>
        <v>7.0349419338592751</v>
      </c>
      <c r="W134" s="38">
        <f t="shared" si="145"/>
        <v>0.60505806614072455</v>
      </c>
      <c r="X134" s="27">
        <f t="shared" si="6"/>
        <v>0</v>
      </c>
      <c r="Y134" s="38">
        <f t="shared" ref="Y134:Z134" si="147">IF($X134=0,T134,"")</f>
        <v>7.2270000000000003</v>
      </c>
      <c r="Z134" s="38">
        <f t="shared" si="147"/>
        <v>7.64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spans="1:40" ht="14.25" customHeight="1" x14ac:dyDescent="0.45">
      <c r="A135" s="26"/>
      <c r="B135" s="27"/>
      <c r="C135" s="27"/>
      <c r="D135" s="28"/>
      <c r="E135" s="29"/>
      <c r="F135" s="94"/>
      <c r="G135" s="95"/>
      <c r="H135" s="61"/>
      <c r="I135" s="27"/>
      <c r="J135" s="33" t="s">
        <v>52</v>
      </c>
      <c r="K135" s="32">
        <v>14</v>
      </c>
      <c r="L135" s="60"/>
      <c r="M135" s="37">
        <v>28.3</v>
      </c>
      <c r="N135" s="51">
        <v>28.81</v>
      </c>
      <c r="O135" s="37">
        <v>27.6</v>
      </c>
      <c r="P135" s="52">
        <v>30.41</v>
      </c>
      <c r="Q135" s="38">
        <v>6.08</v>
      </c>
      <c r="R135" s="38">
        <v>6.27</v>
      </c>
      <c r="S135" s="51">
        <f t="shared" si="96"/>
        <v>6.2192080235575924</v>
      </c>
      <c r="T135" s="38">
        <f t="shared" si="142"/>
        <v>6.27</v>
      </c>
      <c r="U135" s="38">
        <f t="shared" si="143"/>
        <v>6.08</v>
      </c>
      <c r="V135" s="38">
        <f t="shared" si="144"/>
        <v>6.3696962610568075</v>
      </c>
      <c r="W135" s="38">
        <f t="shared" si="145"/>
        <v>-0.28969626105680746</v>
      </c>
      <c r="X135" s="27">
        <f t="shared" si="6"/>
        <v>0</v>
      </c>
      <c r="Y135" s="38">
        <f t="shared" ref="Y135:Z135" si="148">IF($X135=0,T135,"")</f>
        <v>6.27</v>
      </c>
      <c r="Z135" s="38">
        <f t="shared" si="148"/>
        <v>6.08</v>
      </c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spans="1:40" ht="14.25" customHeight="1" x14ac:dyDescent="0.45">
      <c r="A136" s="26">
        <v>2024</v>
      </c>
      <c r="B136" s="27">
        <v>12</v>
      </c>
      <c r="C136" s="27">
        <v>1</v>
      </c>
      <c r="D136" s="28">
        <v>0.62847222222222221</v>
      </c>
      <c r="E136" s="29">
        <v>8</v>
      </c>
      <c r="F136" s="94" t="s">
        <v>189</v>
      </c>
      <c r="G136" s="95" t="s">
        <v>190</v>
      </c>
      <c r="H136" s="61">
        <v>13.1</v>
      </c>
      <c r="I136" s="27">
        <v>3</v>
      </c>
      <c r="J136" s="33" t="s">
        <v>47</v>
      </c>
      <c r="K136" s="32">
        <v>1</v>
      </c>
      <c r="L136" s="60">
        <v>1.8</v>
      </c>
      <c r="M136" s="37">
        <v>28.7</v>
      </c>
      <c r="N136" s="51">
        <v>29.19</v>
      </c>
      <c r="O136" s="37">
        <v>26.7</v>
      </c>
      <c r="P136" s="52">
        <v>29.13</v>
      </c>
      <c r="Q136" s="38"/>
      <c r="R136" s="38">
        <v>10.856999999999999</v>
      </c>
      <c r="S136" s="51">
        <f t="shared" si="96"/>
        <v>9.8260962237048446</v>
      </c>
      <c r="T136" s="38"/>
      <c r="U136" s="38"/>
      <c r="V136" s="38"/>
      <c r="W136" s="38"/>
      <c r="X136" s="27">
        <f t="shared" si="6"/>
        <v>0</v>
      </c>
      <c r="Y136" s="38"/>
      <c r="Z136" s="38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spans="1:40" ht="14.25" customHeight="1" x14ac:dyDescent="0.45">
      <c r="A137" s="26"/>
      <c r="B137" s="27"/>
      <c r="C137" s="27"/>
      <c r="D137" s="28"/>
      <c r="E137" s="29"/>
      <c r="F137" s="94"/>
      <c r="G137" s="95"/>
      <c r="H137" s="61"/>
      <c r="I137" s="27"/>
      <c r="J137" s="33" t="s">
        <v>51</v>
      </c>
      <c r="K137" s="32">
        <v>6.5</v>
      </c>
      <c r="L137" s="60"/>
      <c r="M137" s="37">
        <v>28.4</v>
      </c>
      <c r="N137" s="51">
        <v>28.75</v>
      </c>
      <c r="O137" s="37">
        <v>27.6</v>
      </c>
      <c r="P137" s="52">
        <v>30.13</v>
      </c>
      <c r="Q137" s="38"/>
      <c r="R137" s="38">
        <v>6.5869999999999997</v>
      </c>
      <c r="S137" s="51">
        <f t="shared" si="96"/>
        <v>6.4684741145640627</v>
      </c>
      <c r="T137" s="38"/>
      <c r="U137" s="38"/>
      <c r="V137" s="38"/>
      <c r="W137" s="38"/>
      <c r="X137" s="27">
        <f t="shared" si="6"/>
        <v>0</v>
      </c>
      <c r="Y137" s="38"/>
      <c r="Z137" s="38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spans="1:40" ht="14.25" customHeight="1" x14ac:dyDescent="0.45">
      <c r="A138" s="26"/>
      <c r="B138" s="27"/>
      <c r="C138" s="27"/>
      <c r="D138" s="28"/>
      <c r="E138" s="29"/>
      <c r="F138" s="94"/>
      <c r="G138" s="95"/>
      <c r="H138" s="61"/>
      <c r="I138" s="27"/>
      <c r="J138" s="33" t="s">
        <v>52</v>
      </c>
      <c r="K138" s="32">
        <v>12</v>
      </c>
      <c r="L138" s="60"/>
      <c r="M138" s="37">
        <v>28.6</v>
      </c>
      <c r="N138" s="51">
        <v>28.8</v>
      </c>
      <c r="O138" s="37">
        <v>27.7</v>
      </c>
      <c r="P138" s="52">
        <v>30.29</v>
      </c>
      <c r="Q138" s="38"/>
      <c r="R138" s="38">
        <v>6.1440000000000001</v>
      </c>
      <c r="S138" s="51">
        <f t="shared" si="96"/>
        <v>6.1201306498452421</v>
      </c>
      <c r="T138" s="38"/>
      <c r="U138" s="38"/>
      <c r="V138" s="38"/>
      <c r="W138" s="38"/>
      <c r="X138" s="27">
        <f t="shared" si="6"/>
        <v>0</v>
      </c>
      <c r="Y138" s="38"/>
      <c r="Z138" s="38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spans="1:40" ht="14.25" customHeight="1" x14ac:dyDescent="0.45">
      <c r="A139" s="26">
        <v>2024</v>
      </c>
      <c r="B139" s="27">
        <v>12</v>
      </c>
      <c r="C139" s="27">
        <v>1</v>
      </c>
      <c r="D139" s="28">
        <v>0.64652777777777781</v>
      </c>
      <c r="E139" s="29">
        <v>4</v>
      </c>
      <c r="F139" s="94" t="s">
        <v>191</v>
      </c>
      <c r="G139" s="95" t="s">
        <v>192</v>
      </c>
      <c r="H139" s="61">
        <v>11.3</v>
      </c>
      <c r="I139" s="27">
        <v>3</v>
      </c>
      <c r="J139" s="33" t="s">
        <v>47</v>
      </c>
      <c r="K139" s="32">
        <v>1</v>
      </c>
      <c r="L139" s="60">
        <v>1.8</v>
      </c>
      <c r="M139" s="37">
        <v>28.9</v>
      </c>
      <c r="N139" s="51">
        <v>28.85</v>
      </c>
      <c r="O139" s="37">
        <v>26.2</v>
      </c>
      <c r="P139" s="52">
        <v>28.55</v>
      </c>
      <c r="Q139" s="38">
        <v>9.2899999999999991</v>
      </c>
      <c r="R139" s="38">
        <v>9.5399999999999991</v>
      </c>
      <c r="S139" s="51">
        <f t="shared" si="96"/>
        <v>8.7905017699019368</v>
      </c>
      <c r="T139" s="38">
        <f t="shared" ref="T139:T154" si="149">R139</f>
        <v>9.5399999999999991</v>
      </c>
      <c r="U139" s="38">
        <f t="shared" ref="U139:U154" si="150">Q139</f>
        <v>9.2899999999999991</v>
      </c>
      <c r="V139" s="38">
        <f t="shared" ref="V139:V154" si="151">T139*$T$2+$U$2</f>
        <v>8.6427927606012886</v>
      </c>
      <c r="W139" s="38">
        <f t="shared" ref="W139:W154" si="152">U139-V139</f>
        <v>0.6472072393987105</v>
      </c>
      <c r="X139" s="27">
        <f t="shared" si="6"/>
        <v>0</v>
      </c>
      <c r="Y139" s="38">
        <f t="shared" ref="Y139:Z139" si="153">IF($X139=0,T139,"")</f>
        <v>9.5399999999999991</v>
      </c>
      <c r="Z139" s="38">
        <f t="shared" si="153"/>
        <v>9.2899999999999991</v>
      </c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spans="1:40" ht="14.25" customHeight="1" x14ac:dyDescent="0.45">
      <c r="A140" s="26"/>
      <c r="B140" s="27"/>
      <c r="C140" s="27"/>
      <c r="D140" s="28"/>
      <c r="E140" s="29"/>
      <c r="F140" s="94"/>
      <c r="G140" s="95"/>
      <c r="H140" s="61"/>
      <c r="I140" s="27"/>
      <c r="J140" s="33" t="s">
        <v>51</v>
      </c>
      <c r="K140" s="32">
        <v>5.5</v>
      </c>
      <c r="L140" s="60"/>
      <c r="M140" s="37">
        <v>28.2</v>
      </c>
      <c r="N140" s="51">
        <v>28.75</v>
      </c>
      <c r="O140" s="37">
        <v>26.4</v>
      </c>
      <c r="P140" s="52">
        <v>29.4</v>
      </c>
      <c r="Q140" s="38">
        <v>8.0299999999999994</v>
      </c>
      <c r="R140" s="38">
        <v>7.8239999999999998</v>
      </c>
      <c r="S140" s="51">
        <f t="shared" si="96"/>
        <v>7.4411622993432536</v>
      </c>
      <c r="T140" s="38">
        <f t="shared" si="149"/>
        <v>7.8239999999999998</v>
      </c>
      <c r="U140" s="38">
        <f t="shared" si="150"/>
        <v>8.0299999999999994</v>
      </c>
      <c r="V140" s="38">
        <f t="shared" si="151"/>
        <v>7.4499384507485882</v>
      </c>
      <c r="W140" s="38">
        <f t="shared" si="152"/>
        <v>0.58006154925141118</v>
      </c>
      <c r="X140" s="27">
        <f t="shared" si="6"/>
        <v>0</v>
      </c>
      <c r="Y140" s="38">
        <f t="shared" ref="Y140:Z140" si="154">IF($X140=0,T140,"")</f>
        <v>7.8239999999999998</v>
      </c>
      <c r="Z140" s="38">
        <f t="shared" si="154"/>
        <v>8.0299999999999994</v>
      </c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spans="1:40" ht="14.25" customHeight="1" x14ac:dyDescent="0.45">
      <c r="A141" s="26"/>
      <c r="B141" s="27"/>
      <c r="C141" s="27"/>
      <c r="D141" s="28"/>
      <c r="E141" s="29"/>
      <c r="F141" s="94"/>
      <c r="G141" s="95"/>
      <c r="H141" s="61"/>
      <c r="I141" s="27"/>
      <c r="J141" s="33" t="s">
        <v>52</v>
      </c>
      <c r="K141" s="32">
        <v>10</v>
      </c>
      <c r="L141" s="60"/>
      <c r="M141" s="37">
        <v>28.3</v>
      </c>
      <c r="N141" s="51">
        <v>29.03</v>
      </c>
      <c r="O141" s="37">
        <v>26.7</v>
      </c>
      <c r="P141" s="52">
        <v>30.12</v>
      </c>
      <c r="Q141" s="38">
        <v>6.3</v>
      </c>
      <c r="R141" s="38">
        <v>5.3650000000000002</v>
      </c>
      <c r="S141" s="51">
        <f t="shared" si="96"/>
        <v>5.5075808552268182</v>
      </c>
      <c r="T141" s="38">
        <f t="shared" si="149"/>
        <v>5.3650000000000002</v>
      </c>
      <c r="U141" s="38">
        <f t="shared" si="150"/>
        <v>6.3</v>
      </c>
      <c r="V141" s="38">
        <f t="shared" si="151"/>
        <v>5.7405976885529073</v>
      </c>
      <c r="W141" s="38">
        <f t="shared" si="152"/>
        <v>0.55940231144709252</v>
      </c>
      <c r="X141" s="27">
        <f t="shared" si="6"/>
        <v>0</v>
      </c>
      <c r="Y141" s="38">
        <f t="shared" ref="Y141:Z141" si="155">IF($X141=0,T141,"")</f>
        <v>5.3650000000000002</v>
      </c>
      <c r="Z141" s="38">
        <f t="shared" si="155"/>
        <v>6.3</v>
      </c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spans="1:40" ht="14.25" customHeight="1" x14ac:dyDescent="0.45">
      <c r="A142" s="26">
        <v>2024</v>
      </c>
      <c r="B142" s="27">
        <v>12</v>
      </c>
      <c r="C142" s="27">
        <v>1</v>
      </c>
      <c r="D142" s="28">
        <v>0.69791666666666663</v>
      </c>
      <c r="E142" s="29" t="s">
        <v>86</v>
      </c>
      <c r="F142" s="94" t="s">
        <v>193</v>
      </c>
      <c r="G142" s="95" t="s">
        <v>194</v>
      </c>
      <c r="H142" s="61">
        <v>12</v>
      </c>
      <c r="I142" s="27">
        <v>3</v>
      </c>
      <c r="J142" s="33" t="s">
        <v>47</v>
      </c>
      <c r="K142" s="32">
        <v>1</v>
      </c>
      <c r="L142" s="60">
        <v>1.1000000000000001</v>
      </c>
      <c r="M142" s="37">
        <v>28.6</v>
      </c>
      <c r="N142" s="51">
        <v>29.05</v>
      </c>
      <c r="O142" s="37">
        <v>26.2</v>
      </c>
      <c r="P142" s="52">
        <v>28.6</v>
      </c>
      <c r="Q142" s="38">
        <v>12.18</v>
      </c>
      <c r="R142" s="38">
        <v>13.208</v>
      </c>
      <c r="S142" s="51">
        <f t="shared" si="96"/>
        <v>11.674754204639264</v>
      </c>
      <c r="T142" s="38">
        <f t="shared" si="149"/>
        <v>13.208</v>
      </c>
      <c r="U142" s="38">
        <f t="shared" si="150"/>
        <v>12.18</v>
      </c>
      <c r="V142" s="38">
        <f t="shared" si="151"/>
        <v>11.192553604738645</v>
      </c>
      <c r="W142" s="38">
        <f t="shared" si="152"/>
        <v>0.98744639526135458</v>
      </c>
      <c r="X142" s="27">
        <f t="shared" si="6"/>
        <v>0</v>
      </c>
      <c r="Y142" s="38">
        <f t="shared" ref="Y142:Z142" si="156">IF($X142=0,T142,"")</f>
        <v>13.208</v>
      </c>
      <c r="Z142" s="38">
        <f t="shared" si="156"/>
        <v>12.18</v>
      </c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spans="1:40" ht="14.25" customHeight="1" x14ac:dyDescent="0.45">
      <c r="A143" s="26"/>
      <c r="B143" s="27"/>
      <c r="C143" s="27"/>
      <c r="D143" s="28"/>
      <c r="E143" s="29"/>
      <c r="F143" s="94"/>
      <c r="G143" s="95"/>
      <c r="H143" s="61"/>
      <c r="I143" s="27"/>
      <c r="J143" s="33" t="s">
        <v>51</v>
      </c>
      <c r="K143" s="32">
        <v>6</v>
      </c>
      <c r="L143" s="60"/>
      <c r="M143" s="37">
        <v>28.5</v>
      </c>
      <c r="N143" s="51">
        <v>28.69</v>
      </c>
      <c r="O143" s="37">
        <v>26.5</v>
      </c>
      <c r="P143" s="52">
        <v>30.17</v>
      </c>
      <c r="Q143" s="38">
        <v>9.7200000000000006</v>
      </c>
      <c r="R143" s="38">
        <v>7.2110000000000003</v>
      </c>
      <c r="S143" s="51">
        <f t="shared" si="96"/>
        <v>6.9591430129490393</v>
      </c>
      <c r="T143" s="38">
        <f t="shared" si="149"/>
        <v>7.2110000000000003</v>
      </c>
      <c r="U143" s="38">
        <f t="shared" si="150"/>
        <v>9.7200000000000006</v>
      </c>
      <c r="V143" s="38">
        <f t="shared" si="151"/>
        <v>7.0238197491520244</v>
      </c>
      <c r="W143" s="38">
        <f t="shared" si="152"/>
        <v>2.6961802508479762</v>
      </c>
      <c r="X143" s="27">
        <f t="shared" si="6"/>
        <v>1</v>
      </c>
      <c r="Y143" s="38"/>
      <c r="Z143" s="38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spans="1:40" ht="14.25" customHeight="1" x14ac:dyDescent="0.45">
      <c r="A144" s="26"/>
      <c r="B144" s="27"/>
      <c r="C144" s="27"/>
      <c r="D144" s="28"/>
      <c r="E144" s="29"/>
      <c r="F144" s="94"/>
      <c r="G144" s="95"/>
      <c r="H144" s="61"/>
      <c r="I144" s="27"/>
      <c r="J144" s="33" t="s">
        <v>52</v>
      </c>
      <c r="K144" s="32">
        <v>11</v>
      </c>
      <c r="L144" s="60"/>
      <c r="M144" s="37">
        <v>28.3</v>
      </c>
      <c r="N144" s="51">
        <v>29</v>
      </c>
      <c r="O144" s="37">
        <v>27.2</v>
      </c>
      <c r="P144" s="52">
        <v>30.74</v>
      </c>
      <c r="Q144" s="38">
        <v>7.56</v>
      </c>
      <c r="R144" s="38">
        <v>5.54</v>
      </c>
      <c r="S144" s="51">
        <f t="shared" si="96"/>
        <v>5.6451883187161949</v>
      </c>
      <c r="T144" s="38">
        <f t="shared" si="149"/>
        <v>5.54</v>
      </c>
      <c r="U144" s="38">
        <f t="shared" si="150"/>
        <v>7.56</v>
      </c>
      <c r="V144" s="38">
        <f t="shared" si="151"/>
        <v>5.8622465837884681</v>
      </c>
      <c r="W144" s="38">
        <f t="shared" si="152"/>
        <v>1.6977534162115315</v>
      </c>
      <c r="X144" s="27">
        <f t="shared" si="6"/>
        <v>1</v>
      </c>
      <c r="Y144" s="38"/>
      <c r="Z144" s="38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spans="1:40" ht="14.25" customHeight="1" x14ac:dyDescent="0.45">
      <c r="A145" s="26">
        <v>2024</v>
      </c>
      <c r="B145" s="27">
        <v>12</v>
      </c>
      <c r="C145" s="27">
        <v>1</v>
      </c>
      <c r="D145" s="28">
        <v>0.72916666666666663</v>
      </c>
      <c r="E145" s="29" t="s">
        <v>87</v>
      </c>
      <c r="F145" s="94" t="s">
        <v>195</v>
      </c>
      <c r="G145" s="95" t="s">
        <v>196</v>
      </c>
      <c r="H145" s="61">
        <v>9.6999999999999993</v>
      </c>
      <c r="I145" s="27">
        <v>3</v>
      </c>
      <c r="J145" s="33" t="s">
        <v>47</v>
      </c>
      <c r="K145" s="32">
        <v>1</v>
      </c>
      <c r="L145" s="60">
        <v>2.2000000000000002</v>
      </c>
      <c r="M145" s="37">
        <v>28.3</v>
      </c>
      <c r="N145" s="51">
        <v>28.69</v>
      </c>
      <c r="O145" s="37">
        <v>25.7</v>
      </c>
      <c r="P145" s="52">
        <v>28.05</v>
      </c>
      <c r="Q145" s="38">
        <v>9.0399999999999991</v>
      </c>
      <c r="R145" s="38">
        <v>9.4339999999999993</v>
      </c>
      <c r="S145" s="51">
        <f t="shared" si="96"/>
        <v>8.707150963445514</v>
      </c>
      <c r="T145" s="38">
        <f t="shared" si="149"/>
        <v>9.4339999999999993</v>
      </c>
      <c r="U145" s="38">
        <f t="shared" si="150"/>
        <v>9.0399999999999991</v>
      </c>
      <c r="V145" s="38">
        <f t="shared" si="151"/>
        <v>8.5691082869157498</v>
      </c>
      <c r="W145" s="38">
        <f t="shared" si="152"/>
        <v>0.47089171308424937</v>
      </c>
      <c r="X145" s="27">
        <f t="shared" si="6"/>
        <v>0</v>
      </c>
      <c r="Y145" s="38">
        <f t="shared" ref="Y145:Z145" si="157">IF($X145=0,T145,"")</f>
        <v>9.4339999999999993</v>
      </c>
      <c r="Z145" s="38">
        <f t="shared" si="157"/>
        <v>9.0399999999999991</v>
      </c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spans="1:40" ht="14.25" customHeight="1" x14ac:dyDescent="0.45">
      <c r="A146" s="26"/>
      <c r="C146" s="27"/>
      <c r="D146" s="28"/>
      <c r="E146" s="29"/>
      <c r="F146" s="94"/>
      <c r="G146" s="95"/>
      <c r="H146" s="61"/>
      <c r="I146" s="27"/>
      <c r="J146" s="33" t="s">
        <v>51</v>
      </c>
      <c r="K146" s="32">
        <v>4.5</v>
      </c>
      <c r="L146" s="60"/>
      <c r="M146" s="37">
        <v>28.2</v>
      </c>
      <c r="N146" s="51">
        <v>28.37</v>
      </c>
      <c r="O146" s="37">
        <v>25.8</v>
      </c>
      <c r="P146" s="52">
        <v>28.8</v>
      </c>
      <c r="Q146" s="38">
        <v>8.35</v>
      </c>
      <c r="R146" s="38">
        <v>8.33</v>
      </c>
      <c r="S146" s="51">
        <f t="shared" si="96"/>
        <v>7.8390444509182506</v>
      </c>
      <c r="T146" s="38">
        <f t="shared" si="149"/>
        <v>8.33</v>
      </c>
      <c r="U146" s="38">
        <f t="shared" si="150"/>
        <v>8.35</v>
      </c>
      <c r="V146" s="38">
        <f t="shared" si="151"/>
        <v>7.801677542115411</v>
      </c>
      <c r="W146" s="38">
        <f t="shared" si="152"/>
        <v>0.54832245788458867</v>
      </c>
      <c r="X146" s="27">
        <f t="shared" si="6"/>
        <v>0</v>
      </c>
      <c r="Y146" s="38">
        <f t="shared" ref="Y146:Z146" si="158">IF($X146=0,T146,"")</f>
        <v>8.33</v>
      </c>
      <c r="Z146" s="38">
        <f t="shared" si="158"/>
        <v>8.35</v>
      </c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spans="1:40" ht="14.25" customHeight="1" x14ac:dyDescent="0.45">
      <c r="A147" s="26"/>
      <c r="B147" s="27"/>
      <c r="C147" s="27"/>
      <c r="D147" s="28"/>
      <c r="E147" s="29"/>
      <c r="F147" s="94"/>
      <c r="G147" s="95"/>
      <c r="H147" s="61"/>
      <c r="I147" s="27"/>
      <c r="J147" s="33" t="s">
        <v>52</v>
      </c>
      <c r="K147" s="32">
        <v>8</v>
      </c>
      <c r="L147" s="60"/>
      <c r="M147" s="37">
        <v>28</v>
      </c>
      <c r="N147" s="51">
        <v>29.04</v>
      </c>
      <c r="O147" s="37">
        <v>26.5</v>
      </c>
      <c r="P147" s="52">
        <v>30.03</v>
      </c>
      <c r="Q147" s="38">
        <v>5.25</v>
      </c>
      <c r="R147" s="38">
        <v>5.048</v>
      </c>
      <c r="S147" s="51">
        <f t="shared" si="96"/>
        <v>5.2583147642203478</v>
      </c>
      <c r="T147" s="38">
        <f t="shared" si="149"/>
        <v>5.048</v>
      </c>
      <c r="U147" s="38">
        <f t="shared" si="150"/>
        <v>5.25</v>
      </c>
      <c r="V147" s="38">
        <f t="shared" si="151"/>
        <v>5.520239404040491</v>
      </c>
      <c r="W147" s="38">
        <f t="shared" si="152"/>
        <v>-0.27023940404049096</v>
      </c>
      <c r="X147" s="27">
        <f t="shared" si="6"/>
        <v>0</v>
      </c>
      <c r="Y147" s="38">
        <f t="shared" ref="Y147:Z147" si="159">IF($X147=0,T147,"")</f>
        <v>5.048</v>
      </c>
      <c r="Z147" s="38">
        <f t="shared" si="159"/>
        <v>5.25</v>
      </c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spans="1:40" ht="14.25" customHeight="1" x14ac:dyDescent="0.45">
      <c r="A148" s="26">
        <v>2024</v>
      </c>
      <c r="B148" s="27">
        <v>12</v>
      </c>
      <c r="C148" s="27">
        <v>1</v>
      </c>
      <c r="D148" s="28">
        <v>0.75</v>
      </c>
      <c r="E148" s="29" t="s">
        <v>89</v>
      </c>
      <c r="F148" s="94" t="s">
        <v>197</v>
      </c>
      <c r="G148" s="95" t="s">
        <v>198</v>
      </c>
      <c r="H148" s="61">
        <v>7.7</v>
      </c>
      <c r="I148" s="27">
        <v>3</v>
      </c>
      <c r="J148" s="33" t="s">
        <v>47</v>
      </c>
      <c r="K148" s="32">
        <v>1</v>
      </c>
      <c r="L148" s="60">
        <v>1.8</v>
      </c>
      <c r="M148" s="37">
        <v>28</v>
      </c>
      <c r="N148" s="51">
        <v>28.54</v>
      </c>
      <c r="O148" s="37">
        <v>25.6</v>
      </c>
      <c r="P148" s="52">
        <v>27.96</v>
      </c>
      <c r="Q148" s="38">
        <v>7.48</v>
      </c>
      <c r="R148" s="38">
        <v>8.7050000000000001</v>
      </c>
      <c r="S148" s="51">
        <f t="shared" si="96"/>
        <v>8.1339175869669127</v>
      </c>
      <c r="T148" s="38">
        <f t="shared" si="149"/>
        <v>8.7050000000000001</v>
      </c>
      <c r="U148" s="38">
        <f t="shared" si="150"/>
        <v>7.48</v>
      </c>
      <c r="V148" s="38">
        <f t="shared" si="151"/>
        <v>8.0623537461916115</v>
      </c>
      <c r="W148" s="38">
        <f t="shared" si="152"/>
        <v>-0.58235374619161107</v>
      </c>
      <c r="X148" s="27">
        <f t="shared" si="6"/>
        <v>0</v>
      </c>
      <c r="Y148" s="38">
        <f t="shared" ref="Y148:Z148" si="160">IF($X148=0,T148,"")</f>
        <v>8.7050000000000001</v>
      </c>
      <c r="Z148" s="38">
        <f t="shared" si="160"/>
        <v>7.48</v>
      </c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spans="1:40" ht="14.25" customHeight="1" x14ac:dyDescent="0.45">
      <c r="A149" s="26"/>
      <c r="C149" s="27"/>
      <c r="D149" s="28"/>
      <c r="E149" s="29"/>
      <c r="F149" s="94"/>
      <c r="G149" s="95"/>
      <c r="H149" s="61"/>
      <c r="I149" s="27"/>
      <c r="J149" s="33" t="s">
        <v>51</v>
      </c>
      <c r="K149" s="32">
        <v>3.5</v>
      </c>
      <c r="L149" s="60"/>
      <c r="M149" s="37">
        <v>28.1</v>
      </c>
      <c r="N149" s="51">
        <v>28.52</v>
      </c>
      <c r="O149" s="37">
        <v>25.6</v>
      </c>
      <c r="P149" s="52">
        <v>28.08</v>
      </c>
      <c r="Q149" s="38">
        <v>7.66</v>
      </c>
      <c r="R149" s="38">
        <v>8.3450000000000006</v>
      </c>
      <c r="S149" s="51">
        <f t="shared" si="96"/>
        <v>7.8508393763601978</v>
      </c>
      <c r="T149" s="38">
        <f t="shared" si="149"/>
        <v>8.3450000000000006</v>
      </c>
      <c r="U149" s="38">
        <f t="shared" si="150"/>
        <v>7.66</v>
      </c>
      <c r="V149" s="38">
        <f t="shared" si="151"/>
        <v>7.8121045902784587</v>
      </c>
      <c r="W149" s="38">
        <f t="shared" si="152"/>
        <v>-0.15210459027845857</v>
      </c>
      <c r="X149" s="27">
        <f t="shared" si="6"/>
        <v>0</v>
      </c>
      <c r="Y149" s="38">
        <f t="shared" ref="Y149:Z149" si="161">IF($X149=0,T149,"")</f>
        <v>8.3450000000000006</v>
      </c>
      <c r="Z149" s="38">
        <f t="shared" si="161"/>
        <v>7.66</v>
      </c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spans="1:40" ht="14.25" customHeight="1" x14ac:dyDescent="0.45">
      <c r="A150" s="26"/>
      <c r="C150" s="27"/>
      <c r="D150" s="28"/>
      <c r="E150" s="29"/>
      <c r="F150" s="94"/>
      <c r="G150" s="95"/>
      <c r="H150" s="61"/>
      <c r="I150" s="27"/>
      <c r="J150" s="33" t="s">
        <v>52</v>
      </c>
      <c r="K150" s="32">
        <v>6</v>
      </c>
      <c r="L150" s="60"/>
      <c r="M150" s="37">
        <v>27.9</v>
      </c>
      <c r="N150" s="51">
        <v>28.96</v>
      </c>
      <c r="O150" s="37">
        <v>25.6</v>
      </c>
      <c r="P150" s="52">
        <v>29.54</v>
      </c>
      <c r="Q150" s="38">
        <v>7.53</v>
      </c>
      <c r="R150" s="38">
        <v>4.2830000000000004</v>
      </c>
      <c r="S150" s="51">
        <f t="shared" si="96"/>
        <v>4.6567735666810748</v>
      </c>
      <c r="T150" s="38">
        <f t="shared" si="149"/>
        <v>4.2830000000000004</v>
      </c>
      <c r="U150" s="38">
        <f t="shared" si="150"/>
        <v>7.53</v>
      </c>
      <c r="V150" s="38">
        <f t="shared" si="151"/>
        <v>4.9884599477250386</v>
      </c>
      <c r="W150" s="38">
        <f t="shared" si="152"/>
        <v>2.5415400522749616</v>
      </c>
      <c r="X150" s="27">
        <f t="shared" si="6"/>
        <v>1</v>
      </c>
      <c r="Y150" s="38"/>
      <c r="Z150" s="38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spans="1:40" ht="14.25" customHeight="1" x14ac:dyDescent="0.45">
      <c r="A151" s="26">
        <v>2024</v>
      </c>
      <c r="B151" s="27">
        <v>12</v>
      </c>
      <c r="C151" s="27">
        <v>2</v>
      </c>
      <c r="D151" s="28">
        <v>0.31944444444444442</v>
      </c>
      <c r="E151" s="29">
        <v>7</v>
      </c>
      <c r="F151" s="94" t="s">
        <v>199</v>
      </c>
      <c r="G151" s="95" t="s">
        <v>200</v>
      </c>
      <c r="H151" s="61">
        <v>6.6</v>
      </c>
      <c r="I151" s="27">
        <v>3</v>
      </c>
      <c r="J151" s="33" t="s">
        <v>47</v>
      </c>
      <c r="K151" s="32">
        <v>1</v>
      </c>
      <c r="L151" s="60">
        <v>0.8</v>
      </c>
      <c r="M151" s="37">
        <v>26.9</v>
      </c>
      <c r="N151" s="51">
        <v>27.41</v>
      </c>
      <c r="O151" s="37">
        <v>21.5</v>
      </c>
      <c r="P151" s="52">
        <v>22.96</v>
      </c>
      <c r="Q151" s="38">
        <v>4.3899999999999997</v>
      </c>
      <c r="R151" s="38">
        <v>4.0229999999999997</v>
      </c>
      <c r="S151" s="51">
        <f t="shared" si="96"/>
        <v>4.4523281923540008</v>
      </c>
      <c r="T151" s="38">
        <f t="shared" si="149"/>
        <v>4.0229999999999997</v>
      </c>
      <c r="U151" s="38">
        <f t="shared" si="150"/>
        <v>4.3899999999999997</v>
      </c>
      <c r="V151" s="38">
        <f t="shared" si="151"/>
        <v>4.8077244462322053</v>
      </c>
      <c r="W151" s="38">
        <f t="shared" si="152"/>
        <v>-0.41772444623220562</v>
      </c>
      <c r="X151" s="27">
        <f t="shared" si="6"/>
        <v>0</v>
      </c>
      <c r="Y151" s="38">
        <f t="shared" ref="Y151:Z151" si="162">IF($X151=0,T151,"")</f>
        <v>4.0229999999999997</v>
      </c>
      <c r="Z151" s="38">
        <f t="shared" si="162"/>
        <v>4.3899999999999997</v>
      </c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spans="1:40" ht="14.25" customHeight="1" x14ac:dyDescent="0.45">
      <c r="A152" s="26"/>
      <c r="B152" s="27"/>
      <c r="C152" s="27"/>
      <c r="D152" s="28"/>
      <c r="E152" s="29"/>
      <c r="F152" s="94"/>
      <c r="G152" s="95"/>
      <c r="H152" s="61"/>
      <c r="I152" s="27"/>
      <c r="J152" s="33" t="s">
        <v>51</v>
      </c>
      <c r="K152" s="32">
        <v>3</v>
      </c>
      <c r="L152" s="60"/>
      <c r="M152" s="37">
        <v>26.9</v>
      </c>
      <c r="N152" s="51">
        <v>27.3</v>
      </c>
      <c r="O152" s="37">
        <v>21.5</v>
      </c>
      <c r="P152" s="52">
        <v>23.55</v>
      </c>
      <c r="Q152" s="38">
        <v>3.9</v>
      </c>
      <c r="R152" s="38">
        <v>3.843</v>
      </c>
      <c r="S152" s="51">
        <f t="shared" si="96"/>
        <v>4.3107890870506429</v>
      </c>
      <c r="T152" s="38">
        <f t="shared" si="149"/>
        <v>3.843</v>
      </c>
      <c r="U152" s="38">
        <f t="shared" si="150"/>
        <v>3.9</v>
      </c>
      <c r="V152" s="38">
        <f t="shared" si="151"/>
        <v>4.6825998682756289</v>
      </c>
      <c r="W152" s="38">
        <f t="shared" si="152"/>
        <v>-0.782599868275629</v>
      </c>
      <c r="X152" s="27">
        <f t="shared" si="6"/>
        <v>0</v>
      </c>
      <c r="Y152" s="38">
        <f t="shared" ref="Y152:Z152" si="163">IF($X152=0,T152,"")</f>
        <v>3.843</v>
      </c>
      <c r="Z152" s="38">
        <f t="shared" si="163"/>
        <v>3.9</v>
      </c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spans="1:40" ht="14.25" customHeight="1" x14ac:dyDescent="0.45">
      <c r="A153" s="26"/>
      <c r="C153" s="27"/>
      <c r="D153" s="28"/>
      <c r="E153" s="29"/>
      <c r="F153" s="94"/>
      <c r="G153" s="95"/>
      <c r="H153" s="61"/>
      <c r="I153" s="27"/>
      <c r="J153" s="33" t="s">
        <v>52</v>
      </c>
      <c r="K153" s="32">
        <v>5</v>
      </c>
      <c r="L153" s="60"/>
      <c r="M153" s="37">
        <v>26.8</v>
      </c>
      <c r="N153" s="51">
        <v>26.72</v>
      </c>
      <c r="O153" s="37">
        <v>21.5</v>
      </c>
      <c r="P153" s="52">
        <v>23.46</v>
      </c>
      <c r="Q153" s="38">
        <v>3.76</v>
      </c>
      <c r="R153" s="38">
        <v>3.8370000000000002</v>
      </c>
      <c r="S153" s="51">
        <f t="shared" si="96"/>
        <v>4.3060711168738646</v>
      </c>
      <c r="T153" s="38">
        <f t="shared" si="149"/>
        <v>3.8370000000000002</v>
      </c>
      <c r="U153" s="38">
        <f t="shared" si="150"/>
        <v>3.76</v>
      </c>
      <c r="V153" s="38">
        <f t="shared" si="151"/>
        <v>4.6784290490104095</v>
      </c>
      <c r="W153" s="38">
        <f t="shared" si="152"/>
        <v>-0.91842904901040967</v>
      </c>
      <c r="X153" s="27">
        <f t="shared" si="6"/>
        <v>0</v>
      </c>
      <c r="Y153" s="38">
        <f t="shared" ref="Y153:Z153" si="164">IF($X153=0,T153,"")</f>
        <v>3.8370000000000002</v>
      </c>
      <c r="Z153" s="38">
        <f t="shared" si="164"/>
        <v>3.76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spans="1:40" ht="14.25" customHeight="1" x14ac:dyDescent="0.45">
      <c r="A154" s="27">
        <v>2024</v>
      </c>
      <c r="B154" s="27">
        <v>12</v>
      </c>
      <c r="C154" s="27">
        <v>2</v>
      </c>
      <c r="D154" s="28">
        <v>0.36944444444444446</v>
      </c>
      <c r="E154" s="29">
        <v>2</v>
      </c>
      <c r="F154" s="94" t="s">
        <v>201</v>
      </c>
      <c r="G154" s="95" t="s">
        <v>202</v>
      </c>
      <c r="H154" s="61">
        <v>4.5999999999999996</v>
      </c>
      <c r="I154" s="27">
        <v>2</v>
      </c>
      <c r="J154" s="33" t="s">
        <v>47</v>
      </c>
      <c r="K154" s="32">
        <v>1</v>
      </c>
      <c r="L154" s="60">
        <v>2.1</v>
      </c>
      <c r="M154" s="37">
        <v>26.9</v>
      </c>
      <c r="N154" s="51">
        <v>27.69</v>
      </c>
      <c r="O154" s="37">
        <v>23.5</v>
      </c>
      <c r="P154" s="52">
        <v>25.42</v>
      </c>
      <c r="Q154" s="38">
        <v>5.98</v>
      </c>
      <c r="R154" s="38">
        <v>7.21</v>
      </c>
      <c r="S154" s="51">
        <f t="shared" si="96"/>
        <v>6.9583566845862421</v>
      </c>
      <c r="T154" s="38">
        <f t="shared" si="149"/>
        <v>7.21</v>
      </c>
      <c r="U154" s="38">
        <f t="shared" si="150"/>
        <v>5.98</v>
      </c>
      <c r="V154" s="38">
        <f t="shared" si="151"/>
        <v>7.0231246126078206</v>
      </c>
      <c r="W154" s="38">
        <f t="shared" si="152"/>
        <v>-1.0431246126078202</v>
      </c>
      <c r="X154" s="27">
        <f t="shared" si="6"/>
        <v>0</v>
      </c>
      <c r="Y154" s="38">
        <f t="shared" ref="Y154:Z154" si="165">IF($X154=0,T154,"")</f>
        <v>7.21</v>
      </c>
      <c r="Z154" s="38">
        <f t="shared" si="165"/>
        <v>5.98</v>
      </c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spans="1:40" ht="14.25" customHeight="1" x14ac:dyDescent="0.45">
      <c r="A155" s="26"/>
      <c r="B155" s="27"/>
      <c r="D155" s="56"/>
      <c r="E155" s="29"/>
      <c r="F155" s="94"/>
      <c r="G155" s="95"/>
      <c r="H155" s="61"/>
      <c r="J155" s="33" t="s">
        <v>51</v>
      </c>
      <c r="K155" s="60"/>
      <c r="L155" s="60"/>
      <c r="M155" s="37"/>
      <c r="N155" s="51"/>
      <c r="O155" s="37"/>
      <c r="P155" s="52"/>
      <c r="Q155" s="38"/>
      <c r="R155" s="38"/>
      <c r="S155" s="51">
        <f t="shared" si="96"/>
        <v>1.28892918882394</v>
      </c>
      <c r="T155" s="38"/>
      <c r="U155" s="38"/>
      <c r="V155" s="38"/>
      <c r="W155" s="38"/>
      <c r="X155" s="27">
        <f t="shared" si="6"/>
        <v>0</v>
      </c>
      <c r="Y155" s="38"/>
      <c r="Z155" s="38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spans="1:40" ht="14.25" customHeight="1" x14ac:dyDescent="0.45">
      <c r="A156" s="26"/>
      <c r="B156" s="27"/>
      <c r="D156" s="56"/>
      <c r="E156" s="29"/>
      <c r="F156" s="94"/>
      <c r="G156" s="95"/>
      <c r="H156" s="61"/>
      <c r="J156" s="33" t="s">
        <v>52</v>
      </c>
      <c r="K156" s="32">
        <v>3.5</v>
      </c>
      <c r="L156" s="60"/>
      <c r="M156" s="37">
        <v>27</v>
      </c>
      <c r="N156" s="51">
        <v>28.76</v>
      </c>
      <c r="O156" s="37">
        <v>24</v>
      </c>
      <c r="P156" s="52">
        <v>28.81</v>
      </c>
      <c r="Q156" s="38">
        <v>6</v>
      </c>
      <c r="R156" s="38">
        <v>5.6239999999999997</v>
      </c>
      <c r="S156" s="51">
        <f t="shared" si="96"/>
        <v>5.711239901191095</v>
      </c>
      <c r="T156" s="38">
        <f t="shared" ref="T156:T168" si="166">R156</f>
        <v>5.6239999999999997</v>
      </c>
      <c r="U156" s="38">
        <f t="shared" ref="U156:U168" si="167">Q156</f>
        <v>6</v>
      </c>
      <c r="V156" s="38">
        <f t="shared" ref="V156:V168" si="168">T156*$T$2+$U$2</f>
        <v>5.9206380535015368</v>
      </c>
      <c r="W156" s="38">
        <f t="shared" ref="W156:W168" si="169">U156-V156</f>
        <v>7.9361946498463176E-2</v>
      </c>
      <c r="X156" s="27">
        <f t="shared" si="6"/>
        <v>0</v>
      </c>
      <c r="Y156" s="38">
        <f t="shared" ref="Y156:Z156" si="170">IF($X156=0,T156,"")</f>
        <v>5.6239999999999997</v>
      </c>
      <c r="Z156" s="38">
        <f t="shared" si="170"/>
        <v>6</v>
      </c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spans="1:40" ht="14.25" customHeight="1" x14ac:dyDescent="0.45">
      <c r="A157" s="26">
        <v>2024</v>
      </c>
      <c r="B157" s="27">
        <v>12</v>
      </c>
      <c r="C157" s="54">
        <v>2</v>
      </c>
      <c r="D157" s="28">
        <v>0.3972222222222222</v>
      </c>
      <c r="E157" s="29">
        <v>3</v>
      </c>
      <c r="F157" s="94" t="s">
        <v>203</v>
      </c>
      <c r="G157" s="95" t="s">
        <v>204</v>
      </c>
      <c r="H157" s="61">
        <v>9.5</v>
      </c>
      <c r="I157" s="54">
        <v>3</v>
      </c>
      <c r="J157" s="33" t="s">
        <v>47</v>
      </c>
      <c r="K157" s="32">
        <v>1</v>
      </c>
      <c r="L157" s="60">
        <v>2.7</v>
      </c>
      <c r="M157" s="37">
        <v>27.5</v>
      </c>
      <c r="N157" s="51">
        <v>27.88</v>
      </c>
      <c r="O157" s="37">
        <v>24.6</v>
      </c>
      <c r="P157" s="52">
        <v>26.79</v>
      </c>
      <c r="Q157" s="38">
        <v>6.72</v>
      </c>
      <c r="R157" s="38">
        <v>6.9880000000000004</v>
      </c>
      <c r="S157" s="51">
        <f t="shared" si="96"/>
        <v>6.7837917880454341</v>
      </c>
      <c r="T157" s="38">
        <f t="shared" si="166"/>
        <v>6.9880000000000004</v>
      </c>
      <c r="U157" s="38">
        <f t="shared" si="167"/>
        <v>6.72</v>
      </c>
      <c r="V157" s="38">
        <f t="shared" si="168"/>
        <v>6.868804299794709</v>
      </c>
      <c r="W157" s="38">
        <f t="shared" si="169"/>
        <v>-0.14880429979470922</v>
      </c>
      <c r="X157" s="27">
        <f t="shared" si="6"/>
        <v>0</v>
      </c>
      <c r="Y157" s="38">
        <f t="shared" ref="Y157:Z157" si="171">IF($X157=0,T157,"")</f>
        <v>6.9880000000000004</v>
      </c>
      <c r="Z157" s="38">
        <f t="shared" si="171"/>
        <v>6.72</v>
      </c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spans="1:40" ht="14.25" customHeight="1" x14ac:dyDescent="0.45">
      <c r="A158" s="26"/>
      <c r="B158" s="27"/>
      <c r="D158" s="56"/>
      <c r="E158" s="29"/>
      <c r="F158" s="94"/>
      <c r="G158" s="95"/>
      <c r="H158" s="61"/>
      <c r="J158" s="33" t="s">
        <v>51</v>
      </c>
      <c r="K158" s="32">
        <v>4.5</v>
      </c>
      <c r="L158" s="60"/>
      <c r="M158" s="37">
        <v>27.5</v>
      </c>
      <c r="N158" s="51">
        <v>28.77</v>
      </c>
      <c r="O158" s="37">
        <v>24.7</v>
      </c>
      <c r="P158" s="52">
        <v>29.55</v>
      </c>
      <c r="Q158" s="38">
        <v>6.52</v>
      </c>
      <c r="R158" s="38">
        <v>7.2220000000000004</v>
      </c>
      <c r="S158" s="51">
        <f t="shared" si="96"/>
        <v>6.9677926249397997</v>
      </c>
      <c r="T158" s="38">
        <f t="shared" si="166"/>
        <v>7.2220000000000004</v>
      </c>
      <c r="U158" s="38">
        <f t="shared" si="167"/>
        <v>6.52</v>
      </c>
      <c r="V158" s="38">
        <f t="shared" si="168"/>
        <v>7.0314662511382595</v>
      </c>
      <c r="W158" s="38">
        <f t="shared" si="169"/>
        <v>-0.51146625113825994</v>
      </c>
      <c r="X158" s="27">
        <f t="shared" si="6"/>
        <v>0</v>
      </c>
      <c r="Y158" s="38">
        <f t="shared" ref="Y158:Z158" si="172">IF($X158=0,T158,"")</f>
        <v>7.2220000000000004</v>
      </c>
      <c r="Z158" s="38">
        <f t="shared" si="172"/>
        <v>6.52</v>
      </c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spans="1:40" ht="14.25" customHeight="1" x14ac:dyDescent="0.45">
      <c r="A159" s="26"/>
      <c r="B159" s="27"/>
      <c r="D159" s="56"/>
      <c r="E159" s="29"/>
      <c r="F159" s="94"/>
      <c r="G159" s="95"/>
      <c r="H159" s="61"/>
      <c r="J159" s="33" t="s">
        <v>52</v>
      </c>
      <c r="K159" s="32">
        <v>8.5</v>
      </c>
      <c r="L159" s="60"/>
      <c r="M159" s="37">
        <v>27.5</v>
      </c>
      <c r="N159" s="51">
        <v>28.9</v>
      </c>
      <c r="O159" s="37">
        <v>24.9</v>
      </c>
      <c r="P159" s="52">
        <v>29.84</v>
      </c>
      <c r="Q159" s="38">
        <v>5.67</v>
      </c>
      <c r="R159" s="38">
        <v>5.5229999999999997</v>
      </c>
      <c r="S159" s="51">
        <f t="shared" si="96"/>
        <v>5.6318207365486543</v>
      </c>
      <c r="T159" s="38">
        <f t="shared" si="166"/>
        <v>5.5229999999999997</v>
      </c>
      <c r="U159" s="38">
        <f t="shared" si="167"/>
        <v>5.67</v>
      </c>
      <c r="V159" s="38">
        <f t="shared" si="168"/>
        <v>5.8504292625370127</v>
      </c>
      <c r="W159" s="38">
        <f t="shared" si="169"/>
        <v>-0.18042926253701275</v>
      </c>
      <c r="X159" s="27">
        <f t="shared" si="6"/>
        <v>0</v>
      </c>
      <c r="Y159" s="38">
        <f t="shared" ref="Y159:Z159" si="173">IF($X159=0,T159,"")</f>
        <v>5.5229999999999997</v>
      </c>
      <c r="Z159" s="38">
        <f t="shared" si="173"/>
        <v>5.67</v>
      </c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spans="1:40" ht="14.25" customHeight="1" x14ac:dyDescent="0.45">
      <c r="A160" s="26">
        <v>2024</v>
      </c>
      <c r="B160" s="27">
        <v>12</v>
      </c>
      <c r="C160" s="54">
        <v>2</v>
      </c>
      <c r="D160" s="28">
        <v>0.42708333333333331</v>
      </c>
      <c r="E160" s="29">
        <v>5</v>
      </c>
      <c r="F160" s="94" t="s">
        <v>205</v>
      </c>
      <c r="G160" s="95" t="s">
        <v>206</v>
      </c>
      <c r="H160" s="61">
        <v>9</v>
      </c>
      <c r="I160" s="54">
        <v>3</v>
      </c>
      <c r="J160" s="33" t="s">
        <v>47</v>
      </c>
      <c r="K160" s="32">
        <v>1</v>
      </c>
      <c r="L160" s="60">
        <v>2.2999999999999998</v>
      </c>
      <c r="M160" s="37">
        <v>27.6</v>
      </c>
      <c r="N160" s="51">
        <v>27.74</v>
      </c>
      <c r="O160" s="37">
        <v>24.4</v>
      </c>
      <c r="P160" s="52">
        <v>26.42</v>
      </c>
      <c r="Q160" s="38">
        <v>6.29</v>
      </c>
      <c r="R160" s="38">
        <v>6.4550000000000001</v>
      </c>
      <c r="S160" s="51">
        <f t="shared" si="96"/>
        <v>6.3646787706749333</v>
      </c>
      <c r="T160" s="38">
        <f t="shared" si="166"/>
        <v>6.4550000000000001</v>
      </c>
      <c r="U160" s="38">
        <f t="shared" si="167"/>
        <v>6.29</v>
      </c>
      <c r="V160" s="38">
        <f t="shared" si="168"/>
        <v>6.4982965217344004</v>
      </c>
      <c r="W160" s="38">
        <f t="shared" si="169"/>
        <v>-0.20829652173440039</v>
      </c>
      <c r="X160" s="27">
        <f t="shared" si="6"/>
        <v>0</v>
      </c>
      <c r="Y160" s="38">
        <f t="shared" ref="Y160:Z160" si="174">IF($X160=0,T160,"")</f>
        <v>6.4550000000000001</v>
      </c>
      <c r="Z160" s="38">
        <f t="shared" si="174"/>
        <v>6.29</v>
      </c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spans="1:40" ht="14.25" customHeight="1" x14ac:dyDescent="0.45">
      <c r="A161" s="26"/>
      <c r="B161" s="27"/>
      <c r="D161" s="28"/>
      <c r="E161" s="29"/>
      <c r="F161" s="94"/>
      <c r="G161" s="95"/>
      <c r="H161" s="61"/>
      <c r="J161" s="33" t="s">
        <v>51</v>
      </c>
      <c r="K161" s="32">
        <v>4.5</v>
      </c>
      <c r="L161" s="60"/>
      <c r="M161" s="37">
        <v>27.6</v>
      </c>
      <c r="N161" s="51">
        <v>28.7</v>
      </c>
      <c r="O161" s="37">
        <v>25.1</v>
      </c>
      <c r="P161" s="52">
        <v>29.12</v>
      </c>
      <c r="Q161" s="38">
        <v>6.08</v>
      </c>
      <c r="R161" s="38">
        <v>5.4180000000000001</v>
      </c>
      <c r="S161" s="51">
        <f t="shared" si="96"/>
        <v>5.5492562584550296</v>
      </c>
      <c r="T161" s="38">
        <f t="shared" si="166"/>
        <v>5.4180000000000001</v>
      </c>
      <c r="U161" s="38">
        <f t="shared" si="167"/>
        <v>6.08</v>
      </c>
      <c r="V161" s="38">
        <f t="shared" si="168"/>
        <v>5.7774399253956767</v>
      </c>
      <c r="W161" s="38">
        <f t="shared" si="169"/>
        <v>0.30256007460432333</v>
      </c>
      <c r="X161" s="27">
        <f t="shared" si="6"/>
        <v>0</v>
      </c>
      <c r="Y161" s="38">
        <f t="shared" ref="Y161:Z161" si="175">IF($X161=0,T161,"")</f>
        <v>5.4180000000000001</v>
      </c>
      <c r="Z161" s="38">
        <f t="shared" si="175"/>
        <v>6.08</v>
      </c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spans="1:40" ht="14.25" customHeight="1" x14ac:dyDescent="0.45">
      <c r="A162" s="26"/>
      <c r="B162" s="27"/>
      <c r="D162" s="28"/>
      <c r="E162" s="29"/>
      <c r="F162" s="94"/>
      <c r="G162" s="95"/>
      <c r="H162" s="61"/>
      <c r="J162" s="33" t="s">
        <v>52</v>
      </c>
      <c r="K162" s="32">
        <v>8</v>
      </c>
      <c r="L162" s="60"/>
      <c r="M162" s="37">
        <v>27.7</v>
      </c>
      <c r="N162" s="51">
        <v>28.77</v>
      </c>
      <c r="O162" s="37">
        <v>25.2</v>
      </c>
      <c r="P162" s="52">
        <v>29.25</v>
      </c>
      <c r="Q162" s="38">
        <v>6.01</v>
      </c>
      <c r="R162" s="38">
        <v>4.88</v>
      </c>
      <c r="S162" s="51">
        <f t="shared" si="96"/>
        <v>5.1262115992705466</v>
      </c>
      <c r="T162" s="38">
        <f t="shared" si="166"/>
        <v>4.88</v>
      </c>
      <c r="U162" s="38">
        <f t="shared" si="167"/>
        <v>6.01</v>
      </c>
      <c r="V162" s="38">
        <f t="shared" si="168"/>
        <v>5.4034564646143526</v>
      </c>
      <c r="W162" s="38">
        <f t="shared" si="169"/>
        <v>0.6065435353856472</v>
      </c>
      <c r="X162" s="27">
        <f t="shared" si="6"/>
        <v>0</v>
      </c>
      <c r="Y162" s="38">
        <f t="shared" ref="Y162:Z162" si="176">IF($X162=0,T162,"")</f>
        <v>4.88</v>
      </c>
      <c r="Z162" s="38">
        <f t="shared" si="176"/>
        <v>6.01</v>
      </c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spans="1:40" ht="14.25" customHeight="1" x14ac:dyDescent="0.45">
      <c r="A163" s="26">
        <v>2024</v>
      </c>
      <c r="B163" s="27">
        <v>12</v>
      </c>
      <c r="C163" s="54">
        <v>2</v>
      </c>
      <c r="D163" s="28">
        <v>0.4513888888888889</v>
      </c>
      <c r="E163" s="29">
        <v>6</v>
      </c>
      <c r="F163" s="94" t="s">
        <v>207</v>
      </c>
      <c r="G163" s="95" t="s">
        <v>208</v>
      </c>
      <c r="H163" s="61">
        <v>7.9</v>
      </c>
      <c r="I163" s="54">
        <v>3</v>
      </c>
      <c r="J163" s="33" t="s">
        <v>47</v>
      </c>
      <c r="K163" s="32">
        <v>1</v>
      </c>
      <c r="L163" s="60">
        <v>2</v>
      </c>
      <c r="M163" s="37">
        <v>27.9</v>
      </c>
      <c r="N163" s="51">
        <v>27.91</v>
      </c>
      <c r="O163" s="37">
        <v>23.7</v>
      </c>
      <c r="P163" s="52">
        <v>28.87</v>
      </c>
      <c r="Q163" s="38">
        <v>6.11</v>
      </c>
      <c r="R163" s="38">
        <v>6.6109999999999998</v>
      </c>
      <c r="S163" s="51">
        <f t="shared" si="96"/>
        <v>6.4873459952711769</v>
      </c>
      <c r="T163" s="38">
        <f t="shared" si="166"/>
        <v>6.6109999999999998</v>
      </c>
      <c r="U163" s="38">
        <f t="shared" si="167"/>
        <v>6.11</v>
      </c>
      <c r="V163" s="38">
        <f t="shared" si="168"/>
        <v>6.6067378226301008</v>
      </c>
      <c r="W163" s="38">
        <f t="shared" si="169"/>
        <v>-0.49673782263010047</v>
      </c>
      <c r="X163" s="27">
        <f t="shared" si="6"/>
        <v>0</v>
      </c>
      <c r="Y163" s="38">
        <f t="shared" ref="Y163:Z163" si="177">IF($X163=0,T163,"")</f>
        <v>6.6109999999999998</v>
      </c>
      <c r="Z163" s="38">
        <f t="shared" si="177"/>
        <v>6.11</v>
      </c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spans="1:40" ht="14.25" customHeight="1" x14ac:dyDescent="0.45">
      <c r="A164" s="26"/>
      <c r="B164" s="27"/>
      <c r="D164" s="28"/>
      <c r="E164" s="29"/>
      <c r="F164" s="94"/>
      <c r="G164" s="95"/>
      <c r="H164" s="61"/>
      <c r="J164" s="33" t="s">
        <v>51</v>
      </c>
      <c r="K164" s="32">
        <v>3.5</v>
      </c>
      <c r="L164" s="60"/>
      <c r="M164" s="37">
        <v>28.4</v>
      </c>
      <c r="N164" s="51">
        <v>28.77</v>
      </c>
      <c r="O164" s="37">
        <v>25.6</v>
      </c>
      <c r="P164" s="52">
        <v>28.8</v>
      </c>
      <c r="Q164" s="38">
        <v>4.75</v>
      </c>
      <c r="R164" s="38">
        <v>5.6989999999999998</v>
      </c>
      <c r="S164" s="51">
        <f t="shared" si="96"/>
        <v>5.7702145284008273</v>
      </c>
      <c r="T164" s="38">
        <f t="shared" si="166"/>
        <v>5.6989999999999998</v>
      </c>
      <c r="U164" s="38">
        <f t="shared" si="167"/>
        <v>4.75</v>
      </c>
      <c r="V164" s="38">
        <f t="shared" si="168"/>
        <v>5.9727732943167773</v>
      </c>
      <c r="W164" s="38">
        <f t="shared" si="169"/>
        <v>-1.2227732943167773</v>
      </c>
      <c r="X164" s="27">
        <f t="shared" si="6"/>
        <v>0</v>
      </c>
      <c r="Y164" s="38">
        <f t="shared" ref="Y164:Z164" si="178">IF($X164=0,T164,"")</f>
        <v>5.6989999999999998</v>
      </c>
      <c r="Z164" s="38">
        <f t="shared" si="178"/>
        <v>4.75</v>
      </c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spans="1:40" ht="14.25" customHeight="1" x14ac:dyDescent="0.45">
      <c r="A165" s="26"/>
      <c r="B165" s="27"/>
      <c r="D165" s="28"/>
      <c r="E165" s="29"/>
      <c r="F165" s="94"/>
      <c r="G165" s="95"/>
      <c r="H165" s="61"/>
      <c r="J165" s="33" t="s">
        <v>52</v>
      </c>
      <c r="K165" s="32">
        <v>7</v>
      </c>
      <c r="L165" s="60"/>
      <c r="M165" s="37">
        <v>28.1</v>
      </c>
      <c r="N165" s="51">
        <v>28.84</v>
      </c>
      <c r="O165" s="37">
        <v>24.6</v>
      </c>
      <c r="P165" s="52">
        <v>29.09</v>
      </c>
      <c r="Q165" s="38">
        <v>5</v>
      </c>
      <c r="R165" s="38">
        <v>4.57</v>
      </c>
      <c r="S165" s="51">
        <f t="shared" si="96"/>
        <v>4.8824498068036517</v>
      </c>
      <c r="T165" s="38">
        <f t="shared" si="166"/>
        <v>4.57</v>
      </c>
      <c r="U165" s="38">
        <f t="shared" si="167"/>
        <v>5</v>
      </c>
      <c r="V165" s="38">
        <f t="shared" si="168"/>
        <v>5.1879641359113595</v>
      </c>
      <c r="W165" s="38">
        <f t="shared" si="169"/>
        <v>-0.18796413591135952</v>
      </c>
      <c r="X165" s="27">
        <f t="shared" si="6"/>
        <v>0</v>
      </c>
      <c r="Y165" s="38">
        <f t="shared" ref="Y165:Z165" si="179">IF($X165=0,T165,"")</f>
        <v>4.57</v>
      </c>
      <c r="Z165" s="38">
        <f t="shared" si="179"/>
        <v>5</v>
      </c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spans="1:40" ht="14.25" customHeight="1" x14ac:dyDescent="0.45">
      <c r="A166" s="26">
        <v>2024</v>
      </c>
      <c r="B166" s="27">
        <v>12</v>
      </c>
      <c r="C166" s="54">
        <v>2</v>
      </c>
      <c r="D166" s="28">
        <v>0.6333333333333333</v>
      </c>
      <c r="E166" s="29">
        <v>26</v>
      </c>
      <c r="F166" s="94" t="s">
        <v>209</v>
      </c>
      <c r="G166" s="95" t="s">
        <v>210</v>
      </c>
      <c r="H166" s="61">
        <v>15.7</v>
      </c>
      <c r="I166" s="54">
        <v>3</v>
      </c>
      <c r="J166" s="33" t="s">
        <v>47</v>
      </c>
      <c r="K166" s="32">
        <v>1</v>
      </c>
      <c r="L166" s="60">
        <v>2</v>
      </c>
      <c r="M166" s="37">
        <v>29.1</v>
      </c>
      <c r="N166" s="51">
        <v>28.99</v>
      </c>
      <c r="O166" s="37">
        <v>28.2</v>
      </c>
      <c r="P166" s="52">
        <v>30.82</v>
      </c>
      <c r="Q166" s="38">
        <v>9.2799999999999994</v>
      </c>
      <c r="R166" s="38">
        <v>9.9320000000000004</v>
      </c>
      <c r="S166" s="51">
        <f t="shared" si="96"/>
        <v>9.0987424881181411</v>
      </c>
      <c r="T166" s="38">
        <f t="shared" si="166"/>
        <v>9.9320000000000004</v>
      </c>
      <c r="U166" s="38">
        <f t="shared" si="167"/>
        <v>9.2799999999999994</v>
      </c>
      <c r="V166" s="38">
        <f t="shared" si="168"/>
        <v>8.9152862859289463</v>
      </c>
      <c r="W166" s="38">
        <f t="shared" si="169"/>
        <v>0.36471371407105302</v>
      </c>
      <c r="X166" s="27">
        <f t="shared" si="6"/>
        <v>0</v>
      </c>
      <c r="Y166" s="38">
        <f t="shared" ref="Y166:Z166" si="180">IF($X166=0,T166,"")</f>
        <v>9.9320000000000004</v>
      </c>
      <c r="Z166" s="38">
        <f t="shared" si="180"/>
        <v>9.2799999999999994</v>
      </c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spans="1:40" ht="14.25" customHeight="1" x14ac:dyDescent="0.45">
      <c r="A167" s="26"/>
      <c r="D167" s="28"/>
      <c r="E167" s="29"/>
      <c r="F167" s="94"/>
      <c r="G167" s="95"/>
      <c r="H167" s="61"/>
      <c r="J167" s="33" t="s">
        <v>51</v>
      </c>
      <c r="K167" s="32">
        <v>7.5</v>
      </c>
      <c r="L167" s="60"/>
      <c r="M167" s="37">
        <v>29.1</v>
      </c>
      <c r="N167" s="51">
        <v>28.69</v>
      </c>
      <c r="O167" s="37">
        <v>28.9</v>
      </c>
      <c r="P167" s="43">
        <v>31.85</v>
      </c>
      <c r="Q167" s="38">
        <v>7.14</v>
      </c>
      <c r="R167" s="38">
        <v>6.742</v>
      </c>
      <c r="S167" s="51">
        <f t="shared" si="96"/>
        <v>6.5903550107975102</v>
      </c>
      <c r="T167" s="38">
        <f t="shared" si="166"/>
        <v>6.742</v>
      </c>
      <c r="U167" s="38">
        <f t="shared" si="167"/>
        <v>7.14</v>
      </c>
      <c r="V167" s="38">
        <f t="shared" si="168"/>
        <v>6.6978007099207204</v>
      </c>
      <c r="W167" s="38">
        <f t="shared" si="169"/>
        <v>0.44219929007927927</v>
      </c>
      <c r="X167" s="27">
        <f t="shared" si="6"/>
        <v>0</v>
      </c>
      <c r="Y167" s="38">
        <f t="shared" ref="Y167:Z167" si="181">IF($X167=0,T167,"")</f>
        <v>6.742</v>
      </c>
      <c r="Z167" s="38">
        <f t="shared" si="181"/>
        <v>7.14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spans="1:40" ht="14.25" customHeight="1" x14ac:dyDescent="0.45">
      <c r="A168" s="26"/>
      <c r="B168" s="27"/>
      <c r="D168" s="28"/>
      <c r="E168" s="29"/>
      <c r="F168" s="94"/>
      <c r="G168" s="95"/>
      <c r="H168" s="61"/>
      <c r="J168" s="33" t="s">
        <v>52</v>
      </c>
      <c r="K168" s="32">
        <v>14</v>
      </c>
      <c r="L168" s="60"/>
      <c r="M168" s="37">
        <v>28.6</v>
      </c>
      <c r="N168" s="51">
        <v>28.66</v>
      </c>
      <c r="O168" s="37">
        <v>29.1</v>
      </c>
      <c r="P168" s="52">
        <v>31.86</v>
      </c>
      <c r="Q168" s="38">
        <v>6.44</v>
      </c>
      <c r="R168" s="38">
        <v>6.51</v>
      </c>
      <c r="S168" s="51">
        <f t="shared" si="96"/>
        <v>6.4079268306287371</v>
      </c>
      <c r="T168" s="38">
        <f t="shared" si="166"/>
        <v>6.51</v>
      </c>
      <c r="U168" s="38">
        <f t="shared" si="167"/>
        <v>6.44</v>
      </c>
      <c r="V168" s="38">
        <f t="shared" si="168"/>
        <v>6.5365290316655766</v>
      </c>
      <c r="W168" s="38">
        <f t="shared" si="169"/>
        <v>-9.6529031665576248E-2</v>
      </c>
      <c r="X168" s="27">
        <f t="shared" si="6"/>
        <v>0</v>
      </c>
      <c r="Y168" s="38">
        <f t="shared" ref="Y168:Z168" si="182">IF($X168=0,T168,"")</f>
        <v>6.51</v>
      </c>
      <c r="Z168" s="38">
        <f t="shared" si="182"/>
        <v>6.44</v>
      </c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spans="1:40" ht="14.25" customHeight="1" x14ac:dyDescent="0.45">
      <c r="A169" s="26">
        <v>2024</v>
      </c>
      <c r="B169" s="27">
        <v>12</v>
      </c>
      <c r="C169" s="54">
        <v>2</v>
      </c>
      <c r="D169" s="28">
        <v>0.68055555555555558</v>
      </c>
      <c r="E169" s="29">
        <v>27</v>
      </c>
      <c r="F169" s="94" t="s">
        <v>211</v>
      </c>
      <c r="G169" s="95" t="s">
        <v>212</v>
      </c>
      <c r="H169" s="61">
        <v>17</v>
      </c>
      <c r="I169" s="54">
        <v>3</v>
      </c>
      <c r="J169" s="33" t="s">
        <v>47</v>
      </c>
      <c r="K169" s="32">
        <v>1</v>
      </c>
      <c r="L169" s="60">
        <v>4</v>
      </c>
      <c r="M169" s="37">
        <v>28.8</v>
      </c>
      <c r="N169" s="51">
        <v>29.27</v>
      </c>
      <c r="O169" s="37">
        <v>29.1</v>
      </c>
      <c r="P169" s="52">
        <v>31.88</v>
      </c>
      <c r="Q169" s="38"/>
      <c r="R169" s="38">
        <v>7.02</v>
      </c>
      <c r="S169" s="51">
        <f t="shared" si="96"/>
        <v>6.8089542956549192</v>
      </c>
      <c r="T169" s="38"/>
      <c r="U169" s="38"/>
      <c r="V169" s="38"/>
      <c r="W169" s="38"/>
      <c r="X169" s="27">
        <f t="shared" si="6"/>
        <v>0</v>
      </c>
      <c r="Y169" s="38"/>
      <c r="Z169" s="38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spans="1:40" ht="14.25" customHeight="1" x14ac:dyDescent="0.45">
      <c r="A170" s="26"/>
      <c r="D170" s="28"/>
      <c r="E170" s="29"/>
      <c r="F170" s="94"/>
      <c r="G170" s="95"/>
      <c r="H170" s="61"/>
      <c r="J170" s="33" t="s">
        <v>51</v>
      </c>
      <c r="K170" s="32">
        <v>8.5</v>
      </c>
      <c r="L170" s="60"/>
      <c r="M170" s="37">
        <v>28.8</v>
      </c>
      <c r="N170" s="51">
        <v>28.79</v>
      </c>
      <c r="O170" s="37">
        <v>29.2</v>
      </c>
      <c r="P170" s="43">
        <v>31.85</v>
      </c>
      <c r="Q170" s="38"/>
      <c r="R170" s="38">
        <v>6.9889999999999999</v>
      </c>
      <c r="S170" s="51">
        <f t="shared" si="96"/>
        <v>6.7845781164082295</v>
      </c>
      <c r="T170" s="38"/>
      <c r="U170" s="38"/>
      <c r="V170" s="38"/>
      <c r="W170" s="38"/>
      <c r="X170" s="27">
        <f t="shared" si="6"/>
        <v>0</v>
      </c>
      <c r="Y170" s="38"/>
      <c r="Z170" s="38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spans="1:40" ht="14.25" customHeight="1" x14ac:dyDescent="0.45">
      <c r="A171" s="26"/>
      <c r="D171" s="28"/>
      <c r="E171" s="29"/>
      <c r="F171" s="94"/>
      <c r="G171" s="95"/>
      <c r="H171" s="61"/>
      <c r="J171" s="33" t="s">
        <v>52</v>
      </c>
      <c r="K171" s="32">
        <v>16</v>
      </c>
      <c r="L171" s="60"/>
      <c r="M171" s="37">
        <v>28.7</v>
      </c>
      <c r="N171" s="51">
        <v>28.76</v>
      </c>
      <c r="O171" s="37">
        <v>29.2</v>
      </c>
      <c r="P171" s="52">
        <v>31.85</v>
      </c>
      <c r="Q171" s="38"/>
      <c r="R171" s="38">
        <v>6.7610000000000001</v>
      </c>
      <c r="S171" s="51">
        <f t="shared" si="96"/>
        <v>6.6052952496906423</v>
      </c>
      <c r="T171" s="38"/>
      <c r="U171" s="38"/>
      <c r="V171" s="38"/>
      <c r="W171" s="38"/>
      <c r="X171" s="27">
        <f t="shared" si="6"/>
        <v>0</v>
      </c>
      <c r="Y171" s="38"/>
      <c r="Z171" s="38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spans="1:40" ht="14.25" customHeight="1" x14ac:dyDescent="0.45">
      <c r="A172" s="26">
        <v>2024</v>
      </c>
      <c r="B172" s="27">
        <v>12</v>
      </c>
      <c r="C172" s="54">
        <v>2</v>
      </c>
      <c r="D172" s="28">
        <v>0.70694444444444449</v>
      </c>
      <c r="E172" s="29" t="s">
        <v>95</v>
      </c>
      <c r="F172" s="94" t="s">
        <v>213</v>
      </c>
      <c r="G172" s="95" t="s">
        <v>214</v>
      </c>
      <c r="H172" s="61">
        <v>10.1</v>
      </c>
      <c r="I172" s="54">
        <v>3</v>
      </c>
      <c r="J172" s="33" t="s">
        <v>47</v>
      </c>
      <c r="K172" s="32">
        <v>1</v>
      </c>
      <c r="L172" s="60">
        <v>2.8</v>
      </c>
      <c r="M172" s="37">
        <v>29.1</v>
      </c>
      <c r="N172" s="51">
        <v>29.11</v>
      </c>
      <c r="O172" s="37">
        <v>29.1</v>
      </c>
      <c r="P172" s="52">
        <v>31.21</v>
      </c>
      <c r="Q172" s="38"/>
      <c r="R172" s="38">
        <v>9.2729999999999997</v>
      </c>
      <c r="S172" s="51">
        <f t="shared" si="96"/>
        <v>8.5805520970352891</v>
      </c>
      <c r="T172" s="38"/>
      <c r="U172" s="38"/>
      <c r="V172" s="38"/>
      <c r="W172" s="38"/>
      <c r="X172" s="27">
        <f t="shared" si="6"/>
        <v>0</v>
      </c>
      <c r="Y172" s="38"/>
      <c r="Z172" s="38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spans="1:40" ht="14.25" customHeight="1" x14ac:dyDescent="0.45">
      <c r="A173" s="26"/>
      <c r="B173" s="27"/>
      <c r="D173" s="28"/>
      <c r="E173" s="29"/>
      <c r="F173" s="94"/>
      <c r="G173" s="95"/>
      <c r="H173" s="61"/>
      <c r="J173" s="33" t="s">
        <v>51</v>
      </c>
      <c r="K173" s="32">
        <v>5</v>
      </c>
      <c r="L173" s="60"/>
      <c r="M173" s="37">
        <v>28.8</v>
      </c>
      <c r="N173" s="51">
        <v>28.99</v>
      </c>
      <c r="O173" s="37">
        <v>29.2</v>
      </c>
      <c r="P173" s="43">
        <v>31.8</v>
      </c>
      <c r="R173" s="38">
        <v>7.1390000000000002</v>
      </c>
      <c r="S173" s="51">
        <f t="shared" si="96"/>
        <v>6.9025273708276957</v>
      </c>
      <c r="T173" s="38"/>
      <c r="U173" s="38"/>
      <c r="V173" s="38"/>
      <c r="W173" s="38"/>
      <c r="X173" s="27">
        <f t="shared" si="6"/>
        <v>0</v>
      </c>
      <c r="Y173" s="38"/>
      <c r="Z173" s="38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spans="1:40" ht="14.25" customHeight="1" x14ac:dyDescent="0.45">
      <c r="A174" s="26"/>
      <c r="D174" s="28"/>
      <c r="E174" s="96"/>
      <c r="F174" s="94"/>
      <c r="G174" s="95"/>
      <c r="H174" s="61"/>
      <c r="J174" s="33" t="s">
        <v>52</v>
      </c>
      <c r="K174" s="32">
        <v>9</v>
      </c>
      <c r="L174" s="60"/>
      <c r="M174" s="37">
        <v>28.9</v>
      </c>
      <c r="N174" s="51">
        <v>28.92</v>
      </c>
      <c r="O174" s="37">
        <v>29.2</v>
      </c>
      <c r="P174" s="52">
        <v>31.88</v>
      </c>
      <c r="Q174" s="38"/>
      <c r="R174" s="38">
        <v>6.923</v>
      </c>
      <c r="S174" s="51">
        <f t="shared" si="96"/>
        <v>6.7326804444636652</v>
      </c>
      <c r="T174" s="38"/>
      <c r="U174" s="38"/>
      <c r="V174" s="38"/>
      <c r="W174" s="38"/>
      <c r="X174" s="27">
        <f t="shared" si="6"/>
        <v>0</v>
      </c>
      <c r="Y174" s="38"/>
      <c r="Z174" s="38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spans="1:40" ht="14.25" customHeight="1" x14ac:dyDescent="0.45">
      <c r="A175" s="26">
        <v>2024</v>
      </c>
      <c r="B175" s="27">
        <v>12</v>
      </c>
      <c r="C175" s="27">
        <v>2</v>
      </c>
      <c r="D175" s="67">
        <v>0.73263888888888884</v>
      </c>
      <c r="E175" s="29">
        <v>28</v>
      </c>
      <c r="F175" s="97" t="s">
        <v>215</v>
      </c>
      <c r="G175" s="98" t="s">
        <v>216</v>
      </c>
      <c r="H175" s="61">
        <v>18.7</v>
      </c>
      <c r="I175" s="27">
        <v>3</v>
      </c>
      <c r="J175" s="33" t="s">
        <v>47</v>
      </c>
      <c r="K175" s="60">
        <v>1</v>
      </c>
      <c r="L175" s="60">
        <v>4</v>
      </c>
      <c r="M175" s="37">
        <v>28.9</v>
      </c>
      <c r="N175" s="51">
        <v>29.15</v>
      </c>
      <c r="O175" s="37">
        <v>29.1</v>
      </c>
      <c r="P175" s="38">
        <v>31.86</v>
      </c>
      <c r="Q175" s="38">
        <v>6.93</v>
      </c>
      <c r="R175" s="38">
        <v>7.3479999999999999</v>
      </c>
      <c r="S175" s="51">
        <f t="shared" si="96"/>
        <v>7.0668699986521499</v>
      </c>
      <c r="T175" s="38">
        <f t="shared" ref="T175:T180" si="183">R175</f>
        <v>7.3479999999999999</v>
      </c>
      <c r="U175" s="38">
        <f t="shared" ref="U175:U180" si="184">Q175</f>
        <v>6.93</v>
      </c>
      <c r="V175" s="38">
        <f t="shared" ref="V175:V180" si="185">T175*$T$2+$U$2</f>
        <v>7.1190534557078626</v>
      </c>
      <c r="W175" s="38">
        <f t="shared" ref="W175:W180" si="186">U175-V175</f>
        <v>-0.18905345570786292</v>
      </c>
      <c r="X175" s="27">
        <f t="shared" si="6"/>
        <v>0</v>
      </c>
      <c r="Y175" s="38">
        <f t="shared" ref="Y175:Z175" si="187">IF($X175=0,T175,"")</f>
        <v>7.3479999999999999</v>
      </c>
      <c r="Z175" s="38">
        <f t="shared" si="187"/>
        <v>6.93</v>
      </c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spans="1:40" ht="14.25" customHeight="1" x14ac:dyDescent="0.45">
      <c r="A176" s="26"/>
      <c r="B176" s="27"/>
      <c r="C176" s="27"/>
      <c r="D176" s="67"/>
      <c r="E176" s="29"/>
      <c r="F176" s="94"/>
      <c r="G176" s="95"/>
      <c r="H176" s="61"/>
      <c r="I176" s="27"/>
      <c r="J176" s="33" t="s">
        <v>51</v>
      </c>
      <c r="K176" s="32">
        <v>9</v>
      </c>
      <c r="L176" s="60"/>
      <c r="M176" s="37">
        <v>28.7</v>
      </c>
      <c r="N176" s="51">
        <v>28.8</v>
      </c>
      <c r="O176" s="37">
        <v>29.1</v>
      </c>
      <c r="P176" s="38">
        <v>31.85</v>
      </c>
      <c r="Q176" s="38">
        <v>6.89</v>
      </c>
      <c r="R176" s="38">
        <v>7.2949999999999999</v>
      </c>
      <c r="S176" s="51">
        <f t="shared" si="96"/>
        <v>7.0251945954239394</v>
      </c>
      <c r="T176" s="38">
        <f t="shared" si="183"/>
        <v>7.2949999999999999</v>
      </c>
      <c r="U176" s="38">
        <f t="shared" si="184"/>
        <v>6.89</v>
      </c>
      <c r="V176" s="38">
        <f t="shared" si="185"/>
        <v>7.0822112188650932</v>
      </c>
      <c r="W176" s="38">
        <f t="shared" si="186"/>
        <v>-0.19221121886509351</v>
      </c>
      <c r="X176" s="27">
        <f t="shared" si="6"/>
        <v>0</v>
      </c>
      <c r="Y176" s="38">
        <f t="shared" ref="Y176:Z176" si="188">IF($X176=0,T176,"")</f>
        <v>7.2949999999999999</v>
      </c>
      <c r="Z176" s="38">
        <f t="shared" si="188"/>
        <v>6.89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spans="1:40" ht="14.25" customHeight="1" x14ac:dyDescent="0.45">
      <c r="A177" s="26"/>
      <c r="B177" s="27"/>
      <c r="C177" s="27"/>
      <c r="D177" s="67"/>
      <c r="E177" s="29"/>
      <c r="F177" s="94"/>
      <c r="G177" s="95"/>
      <c r="H177" s="61"/>
      <c r="I177" s="27"/>
      <c r="J177" s="33" t="s">
        <v>52</v>
      </c>
      <c r="K177" s="32">
        <v>17</v>
      </c>
      <c r="L177" s="60"/>
      <c r="M177" s="37">
        <v>28.6</v>
      </c>
      <c r="N177" s="51">
        <v>28.75</v>
      </c>
      <c r="O177" s="37">
        <v>29.2</v>
      </c>
      <c r="P177" s="38">
        <v>31.86</v>
      </c>
      <c r="Q177" s="38">
        <v>6.61</v>
      </c>
      <c r="R177" s="38">
        <v>6.9589999999999996</v>
      </c>
      <c r="S177" s="51">
        <f t="shared" si="96"/>
        <v>6.760988265524337</v>
      </c>
      <c r="T177" s="38">
        <f t="shared" si="183"/>
        <v>6.9589999999999996</v>
      </c>
      <c r="U177" s="38">
        <f t="shared" si="184"/>
        <v>6.61</v>
      </c>
      <c r="V177" s="38">
        <f t="shared" si="185"/>
        <v>6.8486453400128156</v>
      </c>
      <c r="W177" s="38">
        <f t="shared" si="186"/>
        <v>-0.23864534001281523</v>
      </c>
      <c r="X177" s="27">
        <f t="shared" si="6"/>
        <v>0</v>
      </c>
      <c r="Y177" s="38">
        <f t="shared" ref="Y177:Z177" si="189">IF($X177=0,T177,"")</f>
        <v>6.9589999999999996</v>
      </c>
      <c r="Z177" s="38">
        <f t="shared" si="189"/>
        <v>6.61</v>
      </c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spans="1:40" ht="14.25" customHeight="1" x14ac:dyDescent="0.45">
      <c r="A178" s="26">
        <v>2024</v>
      </c>
      <c r="B178" s="27">
        <v>12</v>
      </c>
      <c r="C178" s="27">
        <v>3</v>
      </c>
      <c r="D178" s="67">
        <v>0.2951388888888889</v>
      </c>
      <c r="E178" s="29">
        <v>45</v>
      </c>
      <c r="F178" s="97" t="s">
        <v>217</v>
      </c>
      <c r="G178" s="98" t="s">
        <v>218</v>
      </c>
      <c r="H178" s="61">
        <v>20.3</v>
      </c>
      <c r="I178" s="27">
        <v>3</v>
      </c>
      <c r="J178" s="33" t="s">
        <v>47</v>
      </c>
      <c r="K178" s="32">
        <v>1</v>
      </c>
      <c r="L178" s="60">
        <v>3.4</v>
      </c>
      <c r="M178" s="37">
        <v>28.6</v>
      </c>
      <c r="N178" s="51">
        <v>29</v>
      </c>
      <c r="O178" s="37">
        <v>29</v>
      </c>
      <c r="P178" s="38">
        <v>31.68</v>
      </c>
      <c r="Q178" s="38">
        <v>6.68</v>
      </c>
      <c r="R178" s="38">
        <v>6.7850000000000001</v>
      </c>
      <c r="S178" s="51">
        <f t="shared" si="96"/>
        <v>6.6241671303977574</v>
      </c>
      <c r="T178" s="38">
        <f t="shared" si="183"/>
        <v>6.7850000000000001</v>
      </c>
      <c r="U178" s="38">
        <f t="shared" si="184"/>
        <v>6.68</v>
      </c>
      <c r="V178" s="38">
        <f t="shared" si="185"/>
        <v>6.7276915813214586</v>
      </c>
      <c r="W178" s="38">
        <f t="shared" si="186"/>
        <v>-4.7691581321458898E-2</v>
      </c>
      <c r="X178" s="27">
        <f t="shared" si="6"/>
        <v>0</v>
      </c>
      <c r="Y178" s="38">
        <f t="shared" ref="Y178:Z178" si="190">IF($X178=0,T178,"")</f>
        <v>6.7850000000000001</v>
      </c>
      <c r="Z178" s="38">
        <f t="shared" si="190"/>
        <v>6.68</v>
      </c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spans="1:40" ht="14.25" customHeight="1" x14ac:dyDescent="0.45">
      <c r="A179" s="26"/>
      <c r="B179" s="27"/>
      <c r="C179" s="27"/>
      <c r="D179" s="67"/>
      <c r="E179" s="29"/>
      <c r="F179" s="94"/>
      <c r="G179" s="95"/>
      <c r="H179" s="61"/>
      <c r="I179" s="27"/>
      <c r="J179" s="33" t="s">
        <v>51</v>
      </c>
      <c r="K179" s="32">
        <v>10</v>
      </c>
      <c r="L179" s="60"/>
      <c r="M179" s="37">
        <v>28.7</v>
      </c>
      <c r="N179" s="51">
        <v>29.01</v>
      </c>
      <c r="O179" s="37">
        <v>29</v>
      </c>
      <c r="P179" s="38">
        <v>31.68</v>
      </c>
      <c r="Q179" s="38">
        <v>6.58</v>
      </c>
      <c r="R179" s="38">
        <v>6.7720000000000002</v>
      </c>
      <c r="S179" s="51">
        <f t="shared" si="96"/>
        <v>6.6139448616814036</v>
      </c>
      <c r="T179" s="38">
        <f t="shared" si="183"/>
        <v>6.7720000000000002</v>
      </c>
      <c r="U179" s="38">
        <f t="shared" si="184"/>
        <v>6.58</v>
      </c>
      <c r="V179" s="38">
        <f t="shared" si="185"/>
        <v>6.7186548062468168</v>
      </c>
      <c r="W179" s="38">
        <f t="shared" si="186"/>
        <v>-0.1386548062468167</v>
      </c>
      <c r="X179" s="27">
        <f t="shared" si="6"/>
        <v>0</v>
      </c>
      <c r="Y179" s="38">
        <f t="shared" ref="Y179:Z179" si="191">IF($X179=0,T179,"")</f>
        <v>6.7720000000000002</v>
      </c>
      <c r="Z179" s="38">
        <f t="shared" si="191"/>
        <v>6.58</v>
      </c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spans="1:40" ht="14.25" customHeight="1" x14ac:dyDescent="0.45">
      <c r="A180" s="26"/>
      <c r="B180" s="27"/>
      <c r="C180" s="27"/>
      <c r="D180" s="67"/>
      <c r="E180" s="29"/>
      <c r="F180" s="94"/>
      <c r="G180" s="95"/>
      <c r="H180" s="61"/>
      <c r="I180" s="27"/>
      <c r="J180" s="33" t="s">
        <v>52</v>
      </c>
      <c r="K180" s="32">
        <v>19</v>
      </c>
      <c r="L180" s="60"/>
      <c r="M180" s="37">
        <v>28.3</v>
      </c>
      <c r="N180" s="51">
        <v>29.01</v>
      </c>
      <c r="O180" s="37">
        <v>29.1</v>
      </c>
      <c r="P180" s="38">
        <v>31.69</v>
      </c>
      <c r="Q180" s="38">
        <v>6.7</v>
      </c>
      <c r="R180" s="38">
        <v>6.73</v>
      </c>
      <c r="S180" s="51">
        <f t="shared" si="96"/>
        <v>6.5809190704439535</v>
      </c>
      <c r="T180" s="38">
        <f t="shared" si="183"/>
        <v>6.73</v>
      </c>
      <c r="U180" s="38">
        <f t="shared" si="184"/>
        <v>6.7</v>
      </c>
      <c r="V180" s="38">
        <f t="shared" si="185"/>
        <v>6.6894590713902824</v>
      </c>
      <c r="W180" s="38">
        <f t="shared" si="186"/>
        <v>1.0540928609717781E-2</v>
      </c>
      <c r="X180" s="27">
        <f t="shared" si="6"/>
        <v>0</v>
      </c>
      <c r="Y180" s="38">
        <f t="shared" ref="Y180:Z180" si="192">IF($X180=0,T180,"")</f>
        <v>6.73</v>
      </c>
      <c r="Z180" s="38">
        <f t="shared" si="192"/>
        <v>6.7</v>
      </c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spans="1:40" ht="14.25" customHeight="1" x14ac:dyDescent="0.45">
      <c r="A181" s="26">
        <v>2024</v>
      </c>
      <c r="B181" s="27">
        <v>12</v>
      </c>
      <c r="C181" s="27">
        <v>3</v>
      </c>
      <c r="D181" s="67">
        <v>0.3298611111111111</v>
      </c>
      <c r="E181" s="29" t="s">
        <v>97</v>
      </c>
      <c r="F181" s="97" t="s">
        <v>219</v>
      </c>
      <c r="G181" s="98" t="s">
        <v>220</v>
      </c>
      <c r="H181" s="61">
        <v>22</v>
      </c>
      <c r="I181" s="27">
        <v>3</v>
      </c>
      <c r="J181" s="33" t="s">
        <v>47</v>
      </c>
      <c r="K181" s="32">
        <v>1</v>
      </c>
      <c r="L181" s="60">
        <v>3.6</v>
      </c>
      <c r="M181" s="37">
        <v>28.6</v>
      </c>
      <c r="N181" s="51">
        <v>28.9</v>
      </c>
      <c r="O181" s="37">
        <v>29</v>
      </c>
      <c r="P181" s="38">
        <v>31.72</v>
      </c>
      <c r="Q181" s="38"/>
      <c r="R181" s="38">
        <v>7.01</v>
      </c>
      <c r="S181" s="51">
        <f t="shared" si="96"/>
        <v>6.801091012026955</v>
      </c>
      <c r="T181" s="38"/>
      <c r="U181" s="38"/>
      <c r="V181" s="38"/>
      <c r="W181" s="38"/>
      <c r="X181" s="27">
        <f t="shared" si="6"/>
        <v>0</v>
      </c>
      <c r="Y181" s="38"/>
      <c r="Z181" s="38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spans="1:40" ht="14.25" customHeight="1" x14ac:dyDescent="0.45">
      <c r="A182" s="26"/>
      <c r="B182" s="27"/>
      <c r="C182" s="27"/>
      <c r="D182" s="67"/>
      <c r="E182" s="29"/>
      <c r="F182" s="94"/>
      <c r="G182" s="95"/>
      <c r="H182" s="61"/>
      <c r="I182" s="27"/>
      <c r="J182" s="33" t="s">
        <v>51</v>
      </c>
      <c r="K182" s="32">
        <v>11</v>
      </c>
      <c r="L182" s="60"/>
      <c r="M182" s="37">
        <v>28.7</v>
      </c>
      <c r="N182" s="51">
        <v>28.91</v>
      </c>
      <c r="O182" s="37">
        <v>29</v>
      </c>
      <c r="P182" s="38">
        <v>31.73</v>
      </c>
      <c r="Q182" s="38"/>
      <c r="R182" s="38">
        <v>6.8959999999999999</v>
      </c>
      <c r="S182" s="51">
        <f t="shared" si="96"/>
        <v>6.7114495786681614</v>
      </c>
      <c r="T182" s="38"/>
      <c r="U182" s="38"/>
      <c r="V182" s="38"/>
      <c r="W182" s="38"/>
      <c r="X182" s="27">
        <f t="shared" si="6"/>
        <v>0</v>
      </c>
      <c r="Y182" s="38"/>
      <c r="Z182" s="38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spans="1:40" ht="14.25" customHeight="1" x14ac:dyDescent="0.45">
      <c r="A183" s="26"/>
      <c r="B183" s="27"/>
      <c r="C183" s="27"/>
      <c r="D183" s="67"/>
      <c r="E183" s="29"/>
      <c r="F183" s="94"/>
      <c r="G183" s="95"/>
      <c r="H183" s="61"/>
      <c r="I183" s="27"/>
      <c r="J183" s="33" t="s">
        <v>52</v>
      </c>
      <c r="K183" s="32">
        <v>21</v>
      </c>
      <c r="L183" s="60"/>
      <c r="M183" s="37">
        <v>28.7</v>
      </c>
      <c r="N183" s="51">
        <v>28.9</v>
      </c>
      <c r="O183" s="37">
        <v>28.7</v>
      </c>
      <c r="P183" s="38">
        <v>31.73</v>
      </c>
      <c r="Q183" s="38"/>
      <c r="R183" s="38">
        <v>6.8360000000000003</v>
      </c>
      <c r="S183" s="51">
        <f t="shared" si="96"/>
        <v>6.6642698769003754</v>
      </c>
      <c r="T183" s="38"/>
      <c r="U183" s="38"/>
      <c r="V183" s="38"/>
      <c r="W183" s="38"/>
      <c r="X183" s="27">
        <f t="shared" si="6"/>
        <v>0</v>
      </c>
      <c r="Y183" s="38"/>
      <c r="Z183" s="38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spans="1:40" ht="14.25" customHeight="1" x14ac:dyDescent="0.45">
      <c r="A184" s="26">
        <v>2024</v>
      </c>
      <c r="B184" s="27">
        <v>12</v>
      </c>
      <c r="C184" s="27">
        <v>3</v>
      </c>
      <c r="D184" s="67">
        <v>0.35416666666666669</v>
      </c>
      <c r="E184" s="29">
        <v>31</v>
      </c>
      <c r="F184" s="97" t="s">
        <v>221</v>
      </c>
      <c r="G184" s="98" t="s">
        <v>222</v>
      </c>
      <c r="H184" s="61">
        <v>21.5</v>
      </c>
      <c r="I184" s="27">
        <v>3</v>
      </c>
      <c r="J184" s="33" t="s">
        <v>47</v>
      </c>
      <c r="K184" s="32">
        <v>1</v>
      </c>
      <c r="L184" s="60">
        <v>2.6</v>
      </c>
      <c r="M184" s="37">
        <v>28.5</v>
      </c>
      <c r="N184" s="51">
        <v>28.76</v>
      </c>
      <c r="O184" s="37">
        <v>29</v>
      </c>
      <c r="P184" s="38">
        <v>31.8</v>
      </c>
      <c r="Q184" s="38">
        <v>5.83</v>
      </c>
      <c r="R184" s="38">
        <v>6.9420000000000002</v>
      </c>
      <c r="S184" s="51">
        <f t="shared" si="96"/>
        <v>6.7476206833567973</v>
      </c>
      <c r="T184" s="38">
        <f t="shared" ref="T184:T186" si="193">R184</f>
        <v>6.9420000000000002</v>
      </c>
      <c r="U184" s="38">
        <f t="shared" ref="U184:U186" si="194">Q184</f>
        <v>5.83</v>
      </c>
      <c r="V184" s="38">
        <f t="shared" ref="V184:V186" si="195">T184*$T$2+$U$2</f>
        <v>6.8368280187613619</v>
      </c>
      <c r="W184" s="38">
        <f t="shared" ref="W184:W186" si="196">U184-V184</f>
        <v>-1.0068280187613619</v>
      </c>
      <c r="X184" s="27">
        <f t="shared" si="6"/>
        <v>0</v>
      </c>
      <c r="Y184" s="38">
        <f t="shared" ref="Y184:Z184" si="197">IF($X184=0,T184,"")</f>
        <v>6.9420000000000002</v>
      </c>
      <c r="Z184" s="38">
        <f t="shared" si="197"/>
        <v>5.83</v>
      </c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spans="1:40" ht="14.25" customHeight="1" x14ac:dyDescent="0.45">
      <c r="A185" s="26"/>
      <c r="C185" s="27"/>
      <c r="D185" s="67"/>
      <c r="E185" s="29"/>
      <c r="F185" s="94"/>
      <c r="G185" s="95"/>
      <c r="H185" s="61"/>
      <c r="I185" s="27"/>
      <c r="J185" s="33" t="s">
        <v>51</v>
      </c>
      <c r="K185" s="32">
        <v>10.5</v>
      </c>
      <c r="L185" s="60"/>
      <c r="M185" s="37">
        <v>28.5</v>
      </c>
      <c r="N185" s="51">
        <v>28.76</v>
      </c>
      <c r="O185" s="37">
        <v>29</v>
      </c>
      <c r="P185" s="38">
        <v>31.8</v>
      </c>
      <c r="Q185" s="38">
        <v>6.67</v>
      </c>
      <c r="R185" s="38">
        <v>6.891</v>
      </c>
      <c r="S185" s="51">
        <f t="shared" si="96"/>
        <v>6.7075179368541793</v>
      </c>
      <c r="T185" s="38">
        <f t="shared" si="193"/>
        <v>6.891</v>
      </c>
      <c r="U185" s="38">
        <f t="shared" si="194"/>
        <v>6.67</v>
      </c>
      <c r="V185" s="38">
        <f t="shared" si="195"/>
        <v>6.8013760550069984</v>
      </c>
      <c r="W185" s="38">
        <f t="shared" si="196"/>
        <v>-0.13137605500699845</v>
      </c>
      <c r="X185" s="27">
        <f t="shared" si="6"/>
        <v>0</v>
      </c>
      <c r="Y185" s="38">
        <f t="shared" ref="Y185:Z185" si="198">IF($X185=0,T185,"")</f>
        <v>6.891</v>
      </c>
      <c r="Z185" s="38">
        <f t="shared" si="198"/>
        <v>6.67</v>
      </c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spans="1:40" ht="14.25" customHeight="1" x14ac:dyDescent="0.45">
      <c r="A186" s="26"/>
      <c r="B186" s="27"/>
      <c r="C186" s="27"/>
      <c r="D186" s="67"/>
      <c r="E186" s="29"/>
      <c r="F186" s="94"/>
      <c r="G186" s="95"/>
      <c r="H186" s="61"/>
      <c r="I186" s="27"/>
      <c r="J186" s="33" t="s">
        <v>52</v>
      </c>
      <c r="K186" s="32">
        <v>20</v>
      </c>
      <c r="L186" s="60"/>
      <c r="M186" s="37">
        <v>28.3</v>
      </c>
      <c r="N186" s="51">
        <v>28.77</v>
      </c>
      <c r="O186" s="37">
        <v>29.1</v>
      </c>
      <c r="P186" s="38">
        <v>31.8</v>
      </c>
      <c r="Q186" s="38">
        <v>6.54</v>
      </c>
      <c r="R186" s="38">
        <v>6.8529999999999998</v>
      </c>
      <c r="S186" s="51">
        <f t="shared" si="96"/>
        <v>6.6776374590679142</v>
      </c>
      <c r="T186" s="38">
        <f t="shared" si="193"/>
        <v>6.8529999999999998</v>
      </c>
      <c r="U186" s="38">
        <f t="shared" si="194"/>
        <v>6.54</v>
      </c>
      <c r="V186" s="38">
        <f t="shared" si="195"/>
        <v>6.7749608663272758</v>
      </c>
      <c r="W186" s="38">
        <f t="shared" si="196"/>
        <v>-0.23496086632727575</v>
      </c>
      <c r="X186" s="27">
        <f t="shared" si="6"/>
        <v>0</v>
      </c>
      <c r="Y186" s="38">
        <f t="shared" ref="Y186:Z186" si="199">IF($X186=0,T186,"")</f>
        <v>6.8529999999999998</v>
      </c>
      <c r="Z186" s="38">
        <f t="shared" si="199"/>
        <v>6.54</v>
      </c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spans="1:40" ht="14.25" customHeight="1" x14ac:dyDescent="0.45">
      <c r="A187" s="26">
        <v>2024</v>
      </c>
      <c r="B187" s="27">
        <v>12</v>
      </c>
      <c r="C187" s="27">
        <v>3</v>
      </c>
      <c r="D187" s="67">
        <v>0.40277777777777779</v>
      </c>
      <c r="E187" s="29">
        <v>32</v>
      </c>
      <c r="F187" s="97" t="s">
        <v>223</v>
      </c>
      <c r="G187" s="98" t="s">
        <v>224</v>
      </c>
      <c r="H187" s="61">
        <v>18.899999999999999</v>
      </c>
      <c r="I187" s="27">
        <v>3</v>
      </c>
      <c r="J187" s="33" t="s">
        <v>47</v>
      </c>
      <c r="K187" s="32">
        <v>1</v>
      </c>
      <c r="L187" s="60">
        <v>2.8</v>
      </c>
      <c r="M187" s="37">
        <v>28.6</v>
      </c>
      <c r="N187" s="51">
        <v>28.77</v>
      </c>
      <c r="O187" s="37">
        <v>29.1</v>
      </c>
      <c r="P187" s="38">
        <v>31.79</v>
      </c>
      <c r="Q187" s="38"/>
      <c r="R187" s="38">
        <v>6.9329999999999998</v>
      </c>
      <c r="S187" s="51">
        <f t="shared" si="96"/>
        <v>6.7405437280916294</v>
      </c>
      <c r="T187" s="38"/>
      <c r="U187" s="38"/>
      <c r="V187" s="38"/>
      <c r="W187" s="38"/>
      <c r="X187" s="27">
        <f t="shared" si="6"/>
        <v>0</v>
      </c>
      <c r="Y187" s="38"/>
      <c r="Z187" s="38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spans="1:40" ht="14.25" customHeight="1" x14ac:dyDescent="0.45">
      <c r="A188" s="26"/>
      <c r="C188" s="27"/>
      <c r="D188" s="67"/>
      <c r="E188" s="29"/>
      <c r="F188" s="94"/>
      <c r="G188" s="95"/>
      <c r="H188" s="61"/>
      <c r="I188" s="27"/>
      <c r="J188" s="33" t="s">
        <v>51</v>
      </c>
      <c r="K188" s="32">
        <v>9</v>
      </c>
      <c r="L188" s="60"/>
      <c r="M188" s="37">
        <v>28.6</v>
      </c>
      <c r="N188" s="51">
        <v>28.76</v>
      </c>
      <c r="O188" s="37">
        <v>29.1</v>
      </c>
      <c r="P188" s="38">
        <v>31.79</v>
      </c>
      <c r="Q188" s="38"/>
      <c r="R188" s="38">
        <v>6.8390000000000004</v>
      </c>
      <c r="S188" s="51">
        <f t="shared" si="96"/>
        <v>6.666628861988765</v>
      </c>
      <c r="T188" s="38"/>
      <c r="U188" s="38"/>
      <c r="V188" s="38"/>
      <c r="W188" s="38"/>
      <c r="X188" s="27">
        <f t="shared" si="6"/>
        <v>0</v>
      </c>
      <c r="Y188" s="38"/>
      <c r="Z188" s="38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spans="1:40" ht="14.25" customHeight="1" x14ac:dyDescent="0.45">
      <c r="A189" s="26"/>
      <c r="B189" s="27"/>
      <c r="C189" s="27"/>
      <c r="D189" s="67"/>
      <c r="E189" s="29"/>
      <c r="F189" s="94"/>
      <c r="G189" s="95"/>
      <c r="H189" s="61"/>
      <c r="I189" s="27"/>
      <c r="J189" s="33" t="s">
        <v>52</v>
      </c>
      <c r="K189" s="32">
        <v>17</v>
      </c>
      <c r="L189" s="60"/>
      <c r="M189" s="37">
        <v>28.7</v>
      </c>
      <c r="N189" s="51">
        <v>28.75</v>
      </c>
      <c r="O189" s="37">
        <v>29.1</v>
      </c>
      <c r="P189" s="38">
        <v>31.79</v>
      </c>
      <c r="Q189" s="38"/>
      <c r="R189" s="38">
        <v>6.7480000000000002</v>
      </c>
      <c r="S189" s="51">
        <f t="shared" si="96"/>
        <v>6.5950729809742894</v>
      </c>
      <c r="T189" s="38"/>
      <c r="U189" s="38"/>
      <c r="V189" s="38"/>
      <c r="W189" s="38"/>
      <c r="X189" s="27">
        <f t="shared" si="6"/>
        <v>0</v>
      </c>
      <c r="Y189" s="38"/>
      <c r="Z189" s="38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spans="1:40" ht="14.25" customHeight="1" x14ac:dyDescent="0.45">
      <c r="A190" s="26">
        <v>2024</v>
      </c>
      <c r="B190" s="27">
        <v>12</v>
      </c>
      <c r="C190" s="27">
        <v>3</v>
      </c>
      <c r="D190" s="67">
        <v>0.42291666666666666</v>
      </c>
      <c r="E190" s="29">
        <v>33</v>
      </c>
      <c r="F190" s="97" t="s">
        <v>225</v>
      </c>
      <c r="G190" s="98" t="s">
        <v>226</v>
      </c>
      <c r="H190" s="61">
        <v>17.100000000000001</v>
      </c>
      <c r="I190" s="27">
        <v>3</v>
      </c>
      <c r="J190" s="33" t="s">
        <v>47</v>
      </c>
      <c r="K190" s="32">
        <v>1</v>
      </c>
      <c r="L190" s="60">
        <v>3.5</v>
      </c>
      <c r="M190" s="37">
        <v>28.7</v>
      </c>
      <c r="N190" s="51">
        <v>28.8</v>
      </c>
      <c r="O190" s="37">
        <v>29</v>
      </c>
      <c r="P190" s="38">
        <v>31.76</v>
      </c>
      <c r="Q190" s="38"/>
      <c r="R190" s="38">
        <v>6.8920000000000003</v>
      </c>
      <c r="S190" s="51">
        <f t="shared" si="96"/>
        <v>6.7083042652169755</v>
      </c>
      <c r="T190" s="38"/>
      <c r="U190" s="38"/>
      <c r="V190" s="38"/>
      <c r="W190" s="38"/>
      <c r="X190" s="27">
        <f t="shared" si="6"/>
        <v>0</v>
      </c>
      <c r="Y190" s="38"/>
      <c r="Z190" s="38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spans="1:40" ht="14.25" customHeight="1" x14ac:dyDescent="0.45">
      <c r="A191" s="26"/>
      <c r="B191" s="27"/>
      <c r="C191" s="27"/>
      <c r="D191" s="67"/>
      <c r="E191" s="29"/>
      <c r="F191" s="94"/>
      <c r="G191" s="95"/>
      <c r="H191" s="61"/>
      <c r="I191" s="27"/>
      <c r="J191" s="33" t="s">
        <v>51</v>
      </c>
      <c r="K191" s="32">
        <v>8.5</v>
      </c>
      <c r="L191" s="60"/>
      <c r="M191" s="37">
        <v>28.7</v>
      </c>
      <c r="N191" s="51">
        <v>28.75</v>
      </c>
      <c r="O191" s="37">
        <v>29.1</v>
      </c>
      <c r="P191" s="38">
        <v>31.77</v>
      </c>
      <c r="Q191" s="38"/>
      <c r="R191" s="38">
        <v>6.7869999999999999</v>
      </c>
      <c r="S191" s="51">
        <f t="shared" si="96"/>
        <v>6.6257397871233499</v>
      </c>
      <c r="T191" s="38"/>
      <c r="U191" s="38"/>
      <c r="V191" s="38"/>
      <c r="W191" s="38"/>
      <c r="X191" s="27">
        <f t="shared" si="6"/>
        <v>0</v>
      </c>
      <c r="Y191" s="38"/>
      <c r="Z191" s="38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spans="1:40" ht="14.25" customHeight="1" x14ac:dyDescent="0.45">
      <c r="A192" s="26"/>
      <c r="B192" s="27"/>
      <c r="C192" s="27"/>
      <c r="D192" s="67"/>
      <c r="E192" s="29"/>
      <c r="F192" s="94"/>
      <c r="G192" s="95"/>
      <c r="H192" s="61"/>
      <c r="I192" s="27"/>
      <c r="J192" s="33" t="s">
        <v>52</v>
      </c>
      <c r="K192" s="32">
        <v>16</v>
      </c>
      <c r="L192" s="60"/>
      <c r="M192" s="37">
        <v>28.8</v>
      </c>
      <c r="N192" s="51">
        <v>28.75</v>
      </c>
      <c r="O192" s="37">
        <v>29.2</v>
      </c>
      <c r="P192" s="38">
        <v>31.77</v>
      </c>
      <c r="Q192" s="38"/>
      <c r="R192" s="38">
        <v>6.71</v>
      </c>
      <c r="S192" s="51">
        <f t="shared" si="96"/>
        <v>6.5651925031880243</v>
      </c>
      <c r="T192" s="38"/>
      <c r="U192" s="38"/>
      <c r="V192" s="38"/>
      <c r="W192" s="38"/>
      <c r="X192" s="27">
        <f t="shared" si="6"/>
        <v>0</v>
      </c>
      <c r="Y192" s="38"/>
      <c r="Z192" s="38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spans="1:40" ht="14.25" customHeight="1" x14ac:dyDescent="0.45">
      <c r="A193" s="26">
        <v>2024</v>
      </c>
      <c r="B193" s="27">
        <v>12</v>
      </c>
      <c r="C193" s="27">
        <v>4</v>
      </c>
      <c r="D193" s="67">
        <v>0.61250000000000004</v>
      </c>
      <c r="E193" s="29">
        <v>1</v>
      </c>
      <c r="F193" s="97" t="s">
        <v>227</v>
      </c>
      <c r="G193" s="98" t="s">
        <v>228</v>
      </c>
      <c r="H193" s="61">
        <v>1.5</v>
      </c>
      <c r="I193" s="27">
        <v>1</v>
      </c>
      <c r="J193" s="33" t="s">
        <v>47</v>
      </c>
      <c r="K193" s="32">
        <v>1</v>
      </c>
      <c r="L193" s="60">
        <v>0.6</v>
      </c>
      <c r="M193" s="37">
        <v>28</v>
      </c>
      <c r="N193" s="51">
        <v>28.12</v>
      </c>
      <c r="O193" s="37">
        <v>19.899999999999999</v>
      </c>
      <c r="P193" s="38">
        <v>21.73</v>
      </c>
      <c r="Q193" s="38">
        <v>4.4400000000000004</v>
      </c>
      <c r="R193" s="38">
        <v>4.0990000000000002</v>
      </c>
      <c r="S193" s="51">
        <f t="shared" si="96"/>
        <v>4.512089147926531</v>
      </c>
      <c r="T193" s="38">
        <f>R193</f>
        <v>4.0990000000000002</v>
      </c>
      <c r="U193" s="38">
        <f>Q193</f>
        <v>4.4400000000000004</v>
      </c>
      <c r="V193" s="38">
        <f>T193*$T$2+$U$2</f>
        <v>4.8605548235916487</v>
      </c>
      <c r="W193" s="38">
        <f>U193-V193</f>
        <v>-0.42055482359164831</v>
      </c>
      <c r="X193" s="27">
        <f t="shared" si="6"/>
        <v>0</v>
      </c>
      <c r="Y193" s="38">
        <f t="shared" ref="Y193:Z193" si="200">IF($X193=0,T193,"")</f>
        <v>4.0990000000000002</v>
      </c>
      <c r="Z193" s="38">
        <f t="shared" si="200"/>
        <v>4.4400000000000004</v>
      </c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spans="1:40" ht="14.25" customHeight="1" x14ac:dyDescent="0.45">
      <c r="A194" s="26"/>
      <c r="B194" s="27"/>
      <c r="C194" s="27"/>
      <c r="D194" s="67"/>
      <c r="E194" s="70"/>
      <c r="F194" s="71"/>
      <c r="G194" s="99"/>
      <c r="H194" s="61"/>
      <c r="I194" s="27"/>
      <c r="J194" s="33" t="s">
        <v>51</v>
      </c>
      <c r="K194" s="32"/>
      <c r="L194" s="60"/>
      <c r="M194" s="37"/>
      <c r="N194" s="51"/>
      <c r="O194" s="37"/>
      <c r="P194" s="38"/>
      <c r="Q194" s="38"/>
      <c r="R194" s="38"/>
      <c r="S194" s="51"/>
      <c r="T194" s="27"/>
      <c r="U194" s="27"/>
      <c r="V194" s="38"/>
      <c r="W194" s="27"/>
      <c r="X194" s="27">
        <f t="shared" si="6"/>
        <v>0</v>
      </c>
      <c r="Y194" s="38"/>
      <c r="Z194" s="38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spans="1:40" ht="14.25" customHeight="1" x14ac:dyDescent="0.45">
      <c r="A195" s="72"/>
      <c r="B195" s="73"/>
      <c r="C195" s="73"/>
      <c r="D195" s="74"/>
      <c r="E195" s="75"/>
      <c r="F195" s="76"/>
      <c r="G195" s="100"/>
      <c r="H195" s="101"/>
      <c r="I195" s="73"/>
      <c r="J195" s="78" t="s">
        <v>52</v>
      </c>
      <c r="K195" s="77"/>
      <c r="L195" s="102"/>
      <c r="M195" s="79"/>
      <c r="N195" s="81"/>
      <c r="O195" s="79"/>
      <c r="P195" s="80"/>
      <c r="Q195" s="80"/>
      <c r="R195" s="80"/>
      <c r="S195" s="51"/>
      <c r="T195" s="27"/>
      <c r="U195" s="27"/>
      <c r="V195" s="38"/>
      <c r="W195" s="27"/>
      <c r="X195" s="27">
        <f t="shared" si="6"/>
        <v>0</v>
      </c>
      <c r="Y195" s="38"/>
      <c r="Z195" s="38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spans="1:40" ht="14.25" customHeight="1" x14ac:dyDescent="0.45">
      <c r="A196" s="26"/>
      <c r="B196" s="27"/>
      <c r="C196" s="27"/>
      <c r="D196" s="51"/>
      <c r="E196" s="103"/>
      <c r="F196" s="71"/>
      <c r="G196" s="99"/>
      <c r="H196" s="61"/>
      <c r="I196" s="27"/>
      <c r="J196" s="27"/>
      <c r="K196" s="32"/>
      <c r="L196" s="60"/>
      <c r="M196" s="37"/>
      <c r="N196" s="51"/>
      <c r="O196" s="37"/>
      <c r="P196" s="51"/>
      <c r="Q196" s="37"/>
      <c r="R196" s="38"/>
      <c r="S196" s="51"/>
      <c r="T196" s="27"/>
      <c r="U196" s="27"/>
      <c r="V196" s="38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spans="1:40" ht="14.25" customHeight="1" x14ac:dyDescent="0.45">
      <c r="A197" s="26"/>
      <c r="B197" s="27"/>
      <c r="C197" s="27"/>
      <c r="D197" s="51"/>
      <c r="E197" s="103"/>
      <c r="F197" s="71"/>
      <c r="G197" s="99"/>
      <c r="H197" s="61"/>
      <c r="I197" s="27"/>
      <c r="J197" s="27"/>
      <c r="K197" s="32"/>
      <c r="L197" s="60"/>
      <c r="M197" s="37"/>
      <c r="N197" s="51"/>
      <c r="O197" s="37"/>
      <c r="P197" s="51"/>
      <c r="Q197" s="37"/>
      <c r="R197" s="38"/>
      <c r="S197" s="51"/>
      <c r="T197" s="27"/>
      <c r="U197" s="27"/>
      <c r="V197" s="38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spans="1:40" ht="14.25" customHeight="1" x14ac:dyDescent="0.45">
      <c r="A198" s="26"/>
      <c r="B198" s="27"/>
      <c r="C198" s="27"/>
      <c r="D198" s="51"/>
      <c r="E198" s="103"/>
      <c r="F198" s="71"/>
      <c r="G198" s="99"/>
      <c r="H198" s="61"/>
      <c r="I198" s="27"/>
      <c r="J198" s="27"/>
      <c r="K198" s="32"/>
      <c r="L198" s="60"/>
      <c r="M198" s="37"/>
      <c r="N198" s="51"/>
      <c r="O198" s="37"/>
      <c r="P198" s="51"/>
      <c r="Q198" s="37"/>
      <c r="R198" s="38"/>
      <c r="S198" s="51"/>
      <c r="T198" s="27"/>
      <c r="U198" s="27"/>
      <c r="V198" s="38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spans="1:40" ht="14.25" customHeight="1" x14ac:dyDescent="0.45">
      <c r="A199" s="26"/>
      <c r="B199" s="27"/>
      <c r="C199" s="27"/>
      <c r="D199" s="51"/>
      <c r="E199" s="103"/>
      <c r="F199" s="71"/>
      <c r="G199" s="99"/>
      <c r="H199" s="61"/>
      <c r="I199" s="27"/>
      <c r="J199" s="27"/>
      <c r="K199" s="32"/>
      <c r="L199" s="60"/>
      <c r="M199" s="37"/>
      <c r="N199" s="51"/>
      <c r="O199" s="37"/>
      <c r="P199" s="51"/>
      <c r="Q199" s="37"/>
      <c r="R199" s="38"/>
      <c r="S199" s="51"/>
      <c r="T199" s="27"/>
      <c r="U199" s="27"/>
      <c r="V199" s="38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spans="1:40" ht="14.25" customHeight="1" x14ac:dyDescent="0.45">
      <c r="A200" s="26"/>
      <c r="B200" s="27"/>
      <c r="C200" s="27"/>
      <c r="D200" s="51"/>
      <c r="E200" s="103"/>
      <c r="F200" s="71"/>
      <c r="G200" s="99"/>
      <c r="H200" s="61"/>
      <c r="I200" s="27"/>
      <c r="J200" s="27"/>
      <c r="K200" s="32"/>
      <c r="L200" s="60"/>
      <c r="M200" s="37"/>
      <c r="N200" s="51"/>
      <c r="O200" s="37"/>
      <c r="P200" s="51"/>
      <c r="Q200" s="37"/>
      <c r="R200" s="38"/>
      <c r="S200" s="51"/>
      <c r="T200" s="27"/>
      <c r="U200" s="27"/>
      <c r="V200" s="38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spans="1:40" ht="14.25" customHeight="1" x14ac:dyDescent="0.45">
      <c r="A201" s="26"/>
      <c r="B201" s="27"/>
      <c r="C201" s="27"/>
      <c r="D201" s="51"/>
      <c r="E201" s="103"/>
      <c r="F201" s="71"/>
      <c r="G201" s="99"/>
      <c r="H201" s="61"/>
      <c r="I201" s="27"/>
      <c r="J201" s="27"/>
      <c r="K201" s="32"/>
      <c r="L201" s="60"/>
      <c r="M201" s="37"/>
      <c r="N201" s="51"/>
      <c r="O201" s="37"/>
      <c r="P201" s="51"/>
      <c r="Q201" s="37"/>
      <c r="R201" s="38"/>
      <c r="S201" s="51"/>
      <c r="T201" s="27"/>
      <c r="U201" s="27"/>
      <c r="V201" s="38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spans="1:40" ht="14.25" customHeight="1" x14ac:dyDescent="0.45">
      <c r="A202" s="26"/>
      <c r="B202" s="27"/>
      <c r="C202" s="27"/>
      <c r="D202" s="51"/>
      <c r="E202" s="103"/>
      <c r="F202" s="71"/>
      <c r="G202" s="99"/>
      <c r="H202" s="61"/>
      <c r="I202" s="27"/>
      <c r="J202" s="27"/>
      <c r="K202" s="32"/>
      <c r="L202" s="60"/>
      <c r="M202" s="37"/>
      <c r="N202" s="51"/>
      <c r="O202" s="37"/>
      <c r="P202" s="51"/>
      <c r="Q202" s="37"/>
      <c r="R202" s="38"/>
      <c r="S202" s="51"/>
      <c r="T202" s="27"/>
      <c r="U202" s="27"/>
      <c r="V202" s="38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spans="1:40" ht="14.25" customHeight="1" x14ac:dyDescent="0.45">
      <c r="A203" s="26"/>
      <c r="B203" s="27"/>
      <c r="C203" s="27"/>
      <c r="D203" s="51"/>
      <c r="E203" s="103"/>
      <c r="F203" s="71"/>
      <c r="G203" s="99"/>
      <c r="H203" s="61"/>
      <c r="I203" s="27"/>
      <c r="J203" s="27"/>
      <c r="K203" s="32"/>
      <c r="L203" s="60"/>
      <c r="M203" s="37"/>
      <c r="N203" s="51"/>
      <c r="O203" s="37"/>
      <c r="P203" s="51"/>
      <c r="Q203" s="37"/>
      <c r="R203" s="38"/>
      <c r="S203" s="51"/>
      <c r="T203" s="27"/>
      <c r="U203" s="27"/>
      <c r="V203" s="38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spans="1:40" ht="14.25" customHeight="1" x14ac:dyDescent="0.45">
      <c r="A204" s="26"/>
      <c r="B204" s="27"/>
      <c r="C204" s="27"/>
      <c r="D204" s="51"/>
      <c r="E204" s="103"/>
      <c r="F204" s="71"/>
      <c r="G204" s="99"/>
      <c r="H204" s="61"/>
      <c r="I204" s="27"/>
      <c r="J204" s="27"/>
      <c r="K204" s="32"/>
      <c r="L204" s="60"/>
      <c r="M204" s="37"/>
      <c r="N204" s="51"/>
      <c r="O204" s="37"/>
      <c r="P204" s="51"/>
      <c r="Q204" s="37"/>
      <c r="R204" s="38"/>
      <c r="S204" s="51"/>
      <c r="T204" s="27"/>
      <c r="U204" s="27"/>
      <c r="V204" s="38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spans="1:40" ht="14.25" customHeight="1" x14ac:dyDescent="0.45">
      <c r="A205" s="26"/>
      <c r="B205" s="27"/>
      <c r="C205" s="27"/>
      <c r="D205" s="51"/>
      <c r="E205" s="103"/>
      <c r="F205" s="71"/>
      <c r="G205" s="99"/>
      <c r="H205" s="61"/>
      <c r="I205" s="27"/>
      <c r="J205" s="27"/>
      <c r="K205" s="32"/>
      <c r="L205" s="60"/>
      <c r="M205" s="37"/>
      <c r="N205" s="51"/>
      <c r="O205" s="37"/>
      <c r="P205" s="51"/>
      <c r="Q205" s="37"/>
      <c r="R205" s="38"/>
      <c r="S205" s="51"/>
      <c r="T205" s="27"/>
      <c r="U205" s="27"/>
      <c r="V205" s="38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spans="1:40" ht="14.25" customHeight="1" x14ac:dyDescent="0.45">
      <c r="A206" s="26"/>
      <c r="B206" s="27"/>
      <c r="C206" s="27"/>
      <c r="D206" s="51"/>
      <c r="E206" s="103"/>
      <c r="F206" s="71"/>
      <c r="G206" s="99"/>
      <c r="H206" s="61"/>
      <c r="I206" s="27"/>
      <c r="J206" s="27"/>
      <c r="K206" s="32"/>
      <c r="L206" s="60"/>
      <c r="M206" s="37"/>
      <c r="N206" s="51"/>
      <c r="O206" s="37"/>
      <c r="P206" s="51"/>
      <c r="Q206" s="37"/>
      <c r="R206" s="38"/>
      <c r="S206" s="51"/>
      <c r="T206" s="27"/>
      <c r="U206" s="27"/>
      <c r="V206" s="38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spans="1:40" ht="14.25" customHeight="1" x14ac:dyDescent="0.45">
      <c r="A207" s="26"/>
      <c r="B207" s="27"/>
      <c r="C207" s="27"/>
      <c r="D207" s="51"/>
      <c r="E207" s="103"/>
      <c r="F207" s="71"/>
      <c r="G207" s="99"/>
      <c r="H207" s="61"/>
      <c r="I207" s="27"/>
      <c r="J207" s="27"/>
      <c r="K207" s="32"/>
      <c r="L207" s="60"/>
      <c r="M207" s="37"/>
      <c r="N207" s="51"/>
      <c r="O207" s="37"/>
      <c r="P207" s="51"/>
      <c r="Q207" s="37"/>
      <c r="R207" s="38"/>
      <c r="S207" s="51"/>
      <c r="T207" s="27"/>
      <c r="U207" s="27"/>
      <c r="V207" s="38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spans="1:40" ht="14.25" customHeight="1" x14ac:dyDescent="0.45">
      <c r="A208" s="26"/>
      <c r="B208" s="27"/>
      <c r="C208" s="27"/>
      <c r="D208" s="51"/>
      <c r="E208" s="103"/>
      <c r="F208" s="71"/>
      <c r="G208" s="99"/>
      <c r="H208" s="61"/>
      <c r="I208" s="27"/>
      <c r="J208" s="27"/>
      <c r="K208" s="32"/>
      <c r="L208" s="60"/>
      <c r="M208" s="37"/>
      <c r="N208" s="51"/>
      <c r="O208" s="37"/>
      <c r="P208" s="51"/>
      <c r="Q208" s="37"/>
      <c r="R208" s="38"/>
      <c r="S208" s="51"/>
      <c r="T208" s="27"/>
      <c r="U208" s="27"/>
      <c r="V208" s="38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spans="1:40" ht="14.25" customHeight="1" x14ac:dyDescent="0.45">
      <c r="A209" s="26"/>
      <c r="B209" s="27"/>
      <c r="C209" s="27"/>
      <c r="D209" s="51"/>
      <c r="E209" s="103"/>
      <c r="F209" s="71"/>
      <c r="G209" s="99"/>
      <c r="H209" s="61"/>
      <c r="I209" s="27"/>
      <c r="J209" s="27"/>
      <c r="K209" s="32"/>
      <c r="L209" s="60"/>
      <c r="M209" s="37"/>
      <c r="N209" s="51"/>
      <c r="O209" s="37"/>
      <c r="P209" s="51"/>
      <c r="Q209" s="37"/>
      <c r="R209" s="38"/>
      <c r="S209" s="51"/>
      <c r="T209" s="27"/>
      <c r="U209" s="27"/>
      <c r="V209" s="38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spans="1:40" ht="14.25" customHeight="1" x14ac:dyDescent="0.45">
      <c r="A210" s="26"/>
      <c r="B210" s="27"/>
      <c r="C210" s="27"/>
      <c r="D210" s="51"/>
      <c r="E210" s="103"/>
      <c r="F210" s="71"/>
      <c r="G210" s="99"/>
      <c r="H210" s="61"/>
      <c r="I210" s="27"/>
      <c r="J210" s="27"/>
      <c r="K210" s="32"/>
      <c r="L210" s="60"/>
      <c r="M210" s="37"/>
      <c r="N210" s="51"/>
      <c r="O210" s="37"/>
      <c r="P210" s="51"/>
      <c r="Q210" s="37"/>
      <c r="R210" s="38"/>
      <c r="S210" s="51"/>
      <c r="T210" s="27"/>
      <c r="U210" s="27"/>
      <c r="V210" s="38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spans="1:40" ht="14.25" customHeight="1" x14ac:dyDescent="0.45">
      <c r="A211" s="26"/>
      <c r="B211" s="27"/>
      <c r="C211" s="27"/>
      <c r="D211" s="51"/>
      <c r="E211" s="103"/>
      <c r="F211" s="71"/>
      <c r="G211" s="99"/>
      <c r="H211" s="61"/>
      <c r="I211" s="27"/>
      <c r="J211" s="27"/>
      <c r="K211" s="32"/>
      <c r="L211" s="60"/>
      <c r="M211" s="37"/>
      <c r="N211" s="51"/>
      <c r="O211" s="37"/>
      <c r="P211" s="51"/>
      <c r="Q211" s="37"/>
      <c r="R211" s="38"/>
      <c r="S211" s="51"/>
      <c r="T211" s="27"/>
      <c r="U211" s="27"/>
      <c r="V211" s="38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spans="1:40" ht="14.25" customHeight="1" x14ac:dyDescent="0.45">
      <c r="A212" s="26"/>
      <c r="B212" s="27"/>
      <c r="C212" s="27"/>
      <c r="D212" s="51"/>
      <c r="E212" s="103"/>
      <c r="F212" s="71"/>
      <c r="G212" s="99"/>
      <c r="H212" s="61"/>
      <c r="I212" s="27"/>
      <c r="J212" s="27"/>
      <c r="K212" s="32"/>
      <c r="L212" s="60"/>
      <c r="M212" s="37"/>
      <c r="N212" s="51"/>
      <c r="O212" s="37"/>
      <c r="P212" s="51"/>
      <c r="Q212" s="37"/>
      <c r="R212" s="38"/>
      <c r="S212" s="51"/>
      <c r="T212" s="27"/>
      <c r="U212" s="27"/>
      <c r="V212" s="38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spans="1:40" ht="14.25" customHeight="1" x14ac:dyDescent="0.45">
      <c r="A213" s="26"/>
      <c r="B213" s="27"/>
      <c r="C213" s="27"/>
      <c r="D213" s="51"/>
      <c r="E213" s="103"/>
      <c r="F213" s="71"/>
      <c r="G213" s="99"/>
      <c r="H213" s="61"/>
      <c r="I213" s="27"/>
      <c r="J213" s="27"/>
      <c r="K213" s="32"/>
      <c r="L213" s="60"/>
      <c r="M213" s="37"/>
      <c r="N213" s="51"/>
      <c r="O213" s="37"/>
      <c r="P213" s="51"/>
      <c r="Q213" s="37"/>
      <c r="R213" s="38"/>
      <c r="S213" s="51"/>
      <c r="T213" s="27"/>
      <c r="U213" s="27"/>
      <c r="V213" s="38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spans="1:40" ht="14.25" customHeight="1" x14ac:dyDescent="0.45">
      <c r="A214" s="26"/>
      <c r="B214" s="27"/>
      <c r="C214" s="27"/>
      <c r="D214" s="51"/>
      <c r="E214" s="103"/>
      <c r="F214" s="71"/>
      <c r="G214" s="99"/>
      <c r="H214" s="61"/>
      <c r="I214" s="27"/>
      <c r="J214" s="27"/>
      <c r="K214" s="32"/>
      <c r="L214" s="60"/>
      <c r="M214" s="37"/>
      <c r="N214" s="51"/>
      <c r="O214" s="37"/>
      <c r="P214" s="51"/>
      <c r="Q214" s="37"/>
      <c r="R214" s="38"/>
      <c r="S214" s="51"/>
      <c r="T214" s="27"/>
      <c r="U214" s="27"/>
      <c r="V214" s="38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spans="1:40" ht="14.25" customHeight="1" x14ac:dyDescent="0.45">
      <c r="A215" s="26"/>
      <c r="B215" s="27"/>
      <c r="C215" s="27"/>
      <c r="D215" s="51"/>
      <c r="E215" s="103"/>
      <c r="F215" s="71"/>
      <c r="G215" s="99"/>
      <c r="H215" s="61"/>
      <c r="I215" s="27"/>
      <c r="J215" s="27"/>
      <c r="K215" s="32"/>
      <c r="L215" s="60"/>
      <c r="M215" s="37"/>
      <c r="N215" s="51"/>
      <c r="O215" s="37"/>
      <c r="P215" s="51"/>
      <c r="Q215" s="37"/>
      <c r="R215" s="38"/>
      <c r="S215" s="51"/>
      <c r="T215" s="27"/>
      <c r="U215" s="27"/>
      <c r="V215" s="38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spans="1:40" ht="14.25" customHeight="1" x14ac:dyDescent="0.45">
      <c r="A216" s="26"/>
      <c r="B216" s="27"/>
      <c r="C216" s="27"/>
      <c r="D216" s="51"/>
      <c r="E216" s="103"/>
      <c r="F216" s="71"/>
      <c r="G216" s="99"/>
      <c r="H216" s="61"/>
      <c r="I216" s="27"/>
      <c r="J216" s="27"/>
      <c r="K216" s="32"/>
      <c r="L216" s="60"/>
      <c r="M216" s="37"/>
      <c r="N216" s="51"/>
      <c r="O216" s="37"/>
      <c r="P216" s="51"/>
      <c r="Q216" s="37"/>
      <c r="R216" s="38"/>
      <c r="S216" s="51"/>
      <c r="T216" s="27"/>
      <c r="U216" s="27"/>
      <c r="V216" s="38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spans="1:40" ht="14.25" customHeight="1" x14ac:dyDescent="0.45">
      <c r="A217" s="26"/>
      <c r="B217" s="27"/>
      <c r="C217" s="27"/>
      <c r="D217" s="51"/>
      <c r="E217" s="103"/>
      <c r="F217" s="71"/>
      <c r="G217" s="99"/>
      <c r="H217" s="61"/>
      <c r="I217" s="27"/>
      <c r="J217" s="27"/>
      <c r="K217" s="32"/>
      <c r="L217" s="60"/>
      <c r="M217" s="37"/>
      <c r="N217" s="51"/>
      <c r="O217" s="37"/>
      <c r="P217" s="51"/>
      <c r="Q217" s="37"/>
      <c r="R217" s="38"/>
      <c r="S217" s="51"/>
      <c r="T217" s="27"/>
      <c r="U217" s="27"/>
      <c r="V217" s="38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spans="1:40" ht="14.25" customHeight="1" x14ac:dyDescent="0.45">
      <c r="A218" s="26"/>
      <c r="B218" s="27"/>
      <c r="C218" s="27"/>
      <c r="D218" s="51"/>
      <c r="E218" s="103"/>
      <c r="F218" s="71"/>
      <c r="G218" s="99"/>
      <c r="H218" s="61"/>
      <c r="I218" s="27"/>
      <c r="J218" s="27"/>
      <c r="K218" s="32"/>
      <c r="L218" s="60"/>
      <c r="M218" s="37"/>
      <c r="N218" s="51"/>
      <c r="O218" s="37"/>
      <c r="P218" s="51"/>
      <c r="Q218" s="37"/>
      <c r="R218" s="38"/>
      <c r="S218" s="51"/>
      <c r="T218" s="27"/>
      <c r="U218" s="27"/>
      <c r="V218" s="38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spans="1:40" ht="14.25" customHeight="1" x14ac:dyDescent="0.45">
      <c r="A219" s="26"/>
      <c r="B219" s="27"/>
      <c r="C219" s="27"/>
      <c r="D219" s="51"/>
      <c r="E219" s="103"/>
      <c r="F219" s="71"/>
      <c r="G219" s="99"/>
      <c r="H219" s="61"/>
      <c r="I219" s="27"/>
      <c r="J219" s="27"/>
      <c r="K219" s="32"/>
      <c r="L219" s="60"/>
      <c r="M219" s="37"/>
      <c r="N219" s="51"/>
      <c r="O219" s="37"/>
      <c r="P219" s="51"/>
      <c r="Q219" s="37"/>
      <c r="R219" s="38"/>
      <c r="S219" s="51"/>
      <c r="T219" s="27"/>
      <c r="U219" s="27"/>
      <c r="V219" s="38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spans="1:40" ht="14.25" customHeight="1" x14ac:dyDescent="0.45">
      <c r="A220" s="26"/>
      <c r="B220" s="27"/>
      <c r="C220" s="27"/>
      <c r="D220" s="51"/>
      <c r="E220" s="103"/>
      <c r="F220" s="71"/>
      <c r="G220" s="99"/>
      <c r="H220" s="61"/>
      <c r="I220" s="27"/>
      <c r="J220" s="27"/>
      <c r="K220" s="32"/>
      <c r="L220" s="60"/>
      <c r="M220" s="37"/>
      <c r="N220" s="51"/>
      <c r="O220" s="37"/>
      <c r="P220" s="51"/>
      <c r="Q220" s="37"/>
      <c r="R220" s="38"/>
      <c r="S220" s="51"/>
      <c r="T220" s="27"/>
      <c r="U220" s="27"/>
      <c r="V220" s="38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spans="1:40" ht="14.25" customHeight="1" x14ac:dyDescent="0.45">
      <c r="A221" s="26"/>
      <c r="B221" s="27"/>
      <c r="C221" s="27"/>
      <c r="D221" s="51"/>
      <c r="E221" s="103"/>
      <c r="F221" s="71"/>
      <c r="G221" s="99"/>
      <c r="H221" s="61"/>
      <c r="I221" s="27"/>
      <c r="J221" s="27"/>
      <c r="K221" s="32"/>
      <c r="L221" s="60"/>
      <c r="M221" s="37"/>
      <c r="N221" s="51"/>
      <c r="O221" s="37"/>
      <c r="P221" s="51"/>
      <c r="Q221" s="37"/>
      <c r="R221" s="38"/>
      <c r="S221" s="51"/>
      <c r="T221" s="27"/>
      <c r="U221" s="27"/>
      <c r="V221" s="38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spans="1:40" ht="14.25" customHeight="1" x14ac:dyDescent="0.45">
      <c r="A222" s="26"/>
      <c r="B222" s="27"/>
      <c r="C222" s="27"/>
      <c r="D222" s="51"/>
      <c r="E222" s="103"/>
      <c r="F222" s="71"/>
      <c r="G222" s="99"/>
      <c r="H222" s="61"/>
      <c r="I222" s="27"/>
      <c r="J222" s="27"/>
      <c r="K222" s="32"/>
      <c r="L222" s="60"/>
      <c r="M222" s="37"/>
      <c r="N222" s="51"/>
      <c r="O222" s="37"/>
      <c r="P222" s="51"/>
      <c r="Q222" s="37"/>
      <c r="R222" s="38"/>
      <c r="S222" s="51"/>
      <c r="T222" s="27"/>
      <c r="U222" s="27"/>
      <c r="V222" s="38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 spans="1:40" ht="14.25" customHeight="1" x14ac:dyDescent="0.45">
      <c r="A223" s="26"/>
      <c r="B223" s="27"/>
      <c r="C223" s="27"/>
      <c r="D223" s="51"/>
      <c r="E223" s="103"/>
      <c r="F223" s="71"/>
      <c r="G223" s="99"/>
      <c r="H223" s="61"/>
      <c r="I223" s="27"/>
      <c r="J223" s="27"/>
      <c r="K223" s="32"/>
      <c r="L223" s="60"/>
      <c r="M223" s="37"/>
      <c r="N223" s="51"/>
      <c r="O223" s="37"/>
      <c r="P223" s="51"/>
      <c r="Q223" s="37"/>
      <c r="R223" s="38"/>
      <c r="S223" s="51"/>
      <c r="T223" s="27"/>
      <c r="U223" s="27"/>
      <c r="V223" s="38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spans="1:40" ht="14.25" customHeight="1" x14ac:dyDescent="0.45">
      <c r="A224" s="26"/>
      <c r="B224" s="27"/>
      <c r="C224" s="27"/>
      <c r="D224" s="51"/>
      <c r="E224" s="103"/>
      <c r="F224" s="71"/>
      <c r="G224" s="99"/>
      <c r="H224" s="61"/>
      <c r="I224" s="27"/>
      <c r="J224" s="27"/>
      <c r="K224" s="32"/>
      <c r="L224" s="60"/>
      <c r="M224" s="37"/>
      <c r="N224" s="51"/>
      <c r="O224" s="37"/>
      <c r="P224" s="51"/>
      <c r="Q224" s="37"/>
      <c r="R224" s="38"/>
      <c r="S224" s="51"/>
      <c r="T224" s="27"/>
      <c r="U224" s="27"/>
      <c r="V224" s="38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 spans="1:40" ht="14.25" customHeight="1" x14ac:dyDescent="0.45">
      <c r="A225" s="26"/>
      <c r="B225" s="27"/>
      <c r="C225" s="27"/>
      <c r="D225" s="51"/>
      <c r="E225" s="103"/>
      <c r="F225" s="71"/>
      <c r="G225" s="99"/>
      <c r="H225" s="61"/>
      <c r="I225" s="27"/>
      <c r="J225" s="27"/>
      <c r="K225" s="32"/>
      <c r="L225" s="60"/>
      <c r="M225" s="37"/>
      <c r="N225" s="51"/>
      <c r="O225" s="37"/>
      <c r="P225" s="51"/>
      <c r="Q225" s="37"/>
      <c r="R225" s="38"/>
      <c r="S225" s="51"/>
      <c r="T225" s="27"/>
      <c r="U225" s="27"/>
      <c r="V225" s="38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spans="1:40" ht="14.25" customHeight="1" x14ac:dyDescent="0.45">
      <c r="A226" s="26"/>
      <c r="B226" s="27"/>
      <c r="C226" s="27"/>
      <c r="D226" s="51"/>
      <c r="E226" s="103"/>
      <c r="F226" s="71"/>
      <c r="G226" s="99"/>
      <c r="H226" s="61"/>
      <c r="I226" s="27"/>
      <c r="J226" s="27"/>
      <c r="K226" s="32"/>
      <c r="L226" s="60"/>
      <c r="M226" s="37"/>
      <c r="N226" s="51"/>
      <c r="O226" s="37"/>
      <c r="P226" s="51"/>
      <c r="Q226" s="37"/>
      <c r="R226" s="38"/>
      <c r="S226" s="51"/>
      <c r="T226" s="27"/>
      <c r="U226" s="27"/>
      <c r="V226" s="38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 spans="1:40" ht="14.25" customHeight="1" x14ac:dyDescent="0.45">
      <c r="A227" s="26"/>
      <c r="B227" s="27"/>
      <c r="C227" s="27"/>
      <c r="D227" s="51"/>
      <c r="E227" s="103"/>
      <c r="F227" s="71"/>
      <c r="G227" s="99"/>
      <c r="H227" s="61"/>
      <c r="I227" s="27"/>
      <c r="J227" s="27"/>
      <c r="K227" s="32"/>
      <c r="L227" s="60"/>
      <c r="M227" s="37"/>
      <c r="N227" s="51"/>
      <c r="O227" s="37"/>
      <c r="P227" s="51"/>
      <c r="Q227" s="37"/>
      <c r="R227" s="38"/>
      <c r="S227" s="51"/>
      <c r="T227" s="27"/>
      <c r="U227" s="27"/>
      <c r="V227" s="38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spans="1:40" ht="14.25" customHeight="1" x14ac:dyDescent="0.45">
      <c r="A228" s="26"/>
      <c r="B228" s="27"/>
      <c r="C228" s="27"/>
      <c r="D228" s="51"/>
      <c r="E228" s="103"/>
      <c r="F228" s="71"/>
      <c r="G228" s="99"/>
      <c r="H228" s="61"/>
      <c r="I228" s="27"/>
      <c r="J228" s="27"/>
      <c r="K228" s="32"/>
      <c r="L228" s="60"/>
      <c r="M228" s="37"/>
      <c r="N228" s="51"/>
      <c r="O228" s="37"/>
      <c r="P228" s="51"/>
      <c r="Q228" s="37"/>
      <c r="R228" s="38"/>
      <c r="S228" s="51"/>
      <c r="T228" s="27"/>
      <c r="U228" s="27"/>
      <c r="V228" s="38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</row>
    <row r="229" spans="1:40" ht="14.25" customHeight="1" x14ac:dyDescent="0.45">
      <c r="A229" s="26"/>
      <c r="B229" s="27"/>
      <c r="C229" s="27"/>
      <c r="D229" s="51"/>
      <c r="E229" s="103"/>
      <c r="F229" s="71"/>
      <c r="G229" s="99"/>
      <c r="H229" s="61"/>
      <c r="I229" s="27"/>
      <c r="J229" s="27"/>
      <c r="K229" s="32"/>
      <c r="L229" s="60"/>
      <c r="M229" s="37"/>
      <c r="N229" s="51"/>
      <c r="O229" s="37"/>
      <c r="P229" s="51"/>
      <c r="Q229" s="37"/>
      <c r="R229" s="38"/>
      <c r="S229" s="51"/>
      <c r="T229" s="27"/>
      <c r="U229" s="27"/>
      <c r="V229" s="38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 spans="1:40" ht="14.25" customHeight="1" x14ac:dyDescent="0.45">
      <c r="A230" s="26"/>
      <c r="B230" s="27"/>
      <c r="C230" s="27"/>
      <c r="D230" s="51"/>
      <c r="E230" s="103"/>
      <c r="F230" s="71"/>
      <c r="G230" s="99"/>
      <c r="H230" s="61"/>
      <c r="I230" s="27"/>
      <c r="J230" s="27"/>
      <c r="K230" s="32"/>
      <c r="L230" s="60"/>
      <c r="M230" s="37"/>
      <c r="N230" s="51"/>
      <c r="O230" s="37"/>
      <c r="P230" s="51"/>
      <c r="Q230" s="37"/>
      <c r="R230" s="38"/>
      <c r="S230" s="51"/>
      <c r="T230" s="27"/>
      <c r="U230" s="27"/>
      <c r="V230" s="38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</row>
    <row r="231" spans="1:40" ht="14.25" customHeight="1" x14ac:dyDescent="0.45">
      <c r="A231" s="26"/>
      <c r="B231" s="27"/>
      <c r="C231" s="27"/>
      <c r="D231" s="51"/>
      <c r="E231" s="103"/>
      <c r="F231" s="71"/>
      <c r="G231" s="99"/>
      <c r="H231" s="61"/>
      <c r="I231" s="27"/>
      <c r="J231" s="27"/>
      <c r="K231" s="32"/>
      <c r="L231" s="60"/>
      <c r="M231" s="37"/>
      <c r="N231" s="51"/>
      <c r="O231" s="37"/>
      <c r="P231" s="51"/>
      <c r="Q231" s="37"/>
      <c r="R231" s="38"/>
      <c r="S231" s="51"/>
      <c r="T231" s="27"/>
      <c r="U231" s="27"/>
      <c r="V231" s="38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 spans="1:40" ht="14.25" customHeight="1" x14ac:dyDescent="0.45">
      <c r="A232" s="26"/>
      <c r="B232" s="27"/>
      <c r="C232" s="27"/>
      <c r="D232" s="51"/>
      <c r="E232" s="103"/>
      <c r="F232" s="71"/>
      <c r="G232" s="99"/>
      <c r="H232" s="61"/>
      <c r="I232" s="27"/>
      <c r="J232" s="27"/>
      <c r="K232" s="32"/>
      <c r="L232" s="60"/>
      <c r="M232" s="37"/>
      <c r="N232" s="51"/>
      <c r="O232" s="37"/>
      <c r="P232" s="51"/>
      <c r="Q232" s="37"/>
      <c r="R232" s="38"/>
      <c r="S232" s="51"/>
      <c r="T232" s="27"/>
      <c r="U232" s="27"/>
      <c r="V232" s="38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</row>
    <row r="233" spans="1:40" ht="14.25" customHeight="1" x14ac:dyDescent="0.45">
      <c r="A233" s="26"/>
      <c r="B233" s="27"/>
      <c r="C233" s="27"/>
      <c r="D233" s="51"/>
      <c r="E233" s="103"/>
      <c r="F233" s="71"/>
      <c r="G233" s="99"/>
      <c r="H233" s="61"/>
      <c r="I233" s="27"/>
      <c r="J233" s="27"/>
      <c r="K233" s="32"/>
      <c r="L233" s="60"/>
      <c r="M233" s="37"/>
      <c r="N233" s="51"/>
      <c r="O233" s="37"/>
      <c r="P233" s="51"/>
      <c r="Q233" s="37"/>
      <c r="R233" s="38"/>
      <c r="S233" s="51"/>
      <c r="T233" s="27"/>
      <c r="U233" s="27"/>
      <c r="V233" s="38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 spans="1:40" ht="14.25" customHeight="1" x14ac:dyDescent="0.45">
      <c r="A234" s="26"/>
      <c r="B234" s="27"/>
      <c r="C234" s="27"/>
      <c r="D234" s="51"/>
      <c r="E234" s="103"/>
      <c r="F234" s="71"/>
      <c r="G234" s="99"/>
      <c r="H234" s="61"/>
      <c r="I234" s="27"/>
      <c r="J234" s="27"/>
      <c r="K234" s="32"/>
      <c r="L234" s="60"/>
      <c r="M234" s="37"/>
      <c r="N234" s="51"/>
      <c r="O234" s="37"/>
      <c r="P234" s="51"/>
      <c r="Q234" s="37"/>
      <c r="R234" s="38"/>
      <c r="S234" s="51"/>
      <c r="T234" s="27"/>
      <c r="U234" s="27"/>
      <c r="V234" s="38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</row>
    <row r="235" spans="1:40" ht="14.25" customHeight="1" x14ac:dyDescent="0.45">
      <c r="A235" s="26"/>
      <c r="B235" s="27"/>
      <c r="C235" s="27"/>
      <c r="D235" s="51"/>
      <c r="E235" s="103"/>
      <c r="F235" s="71"/>
      <c r="G235" s="99"/>
      <c r="H235" s="61"/>
      <c r="I235" s="27"/>
      <c r="J235" s="27"/>
      <c r="K235" s="32"/>
      <c r="L235" s="60"/>
      <c r="M235" s="37"/>
      <c r="N235" s="51"/>
      <c r="O235" s="37"/>
      <c r="P235" s="51"/>
      <c r="Q235" s="37"/>
      <c r="R235" s="38"/>
      <c r="S235" s="51"/>
      <c r="T235" s="27"/>
      <c r="U235" s="27"/>
      <c r="V235" s="38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 spans="1:40" ht="14.25" customHeight="1" x14ac:dyDescent="0.45">
      <c r="A236" s="26"/>
      <c r="B236" s="27"/>
      <c r="C236" s="27"/>
      <c r="D236" s="51"/>
      <c r="E236" s="103"/>
      <c r="F236" s="71"/>
      <c r="G236" s="99"/>
      <c r="H236" s="61"/>
      <c r="I236" s="27"/>
      <c r="J236" s="27"/>
      <c r="K236" s="32"/>
      <c r="L236" s="60"/>
      <c r="M236" s="37"/>
      <c r="N236" s="51"/>
      <c r="O236" s="37"/>
      <c r="P236" s="51"/>
      <c r="Q236" s="37"/>
      <c r="R236" s="38"/>
      <c r="S236" s="51"/>
      <c r="T236" s="27"/>
      <c r="U236" s="27"/>
      <c r="V236" s="38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</row>
    <row r="237" spans="1:40" ht="14.25" customHeight="1" x14ac:dyDescent="0.45">
      <c r="A237" s="26"/>
      <c r="B237" s="27"/>
      <c r="C237" s="27"/>
      <c r="D237" s="51"/>
      <c r="E237" s="103"/>
      <c r="F237" s="71"/>
      <c r="G237" s="99"/>
      <c r="H237" s="61"/>
      <c r="I237" s="27"/>
      <c r="J237" s="27"/>
      <c r="K237" s="32"/>
      <c r="L237" s="60"/>
      <c r="M237" s="37"/>
      <c r="N237" s="51"/>
      <c r="O237" s="37"/>
      <c r="P237" s="51"/>
      <c r="Q237" s="37"/>
      <c r="R237" s="38"/>
      <c r="S237" s="51"/>
      <c r="T237" s="27"/>
      <c r="U237" s="27"/>
      <c r="V237" s="38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</row>
    <row r="238" spans="1:40" ht="14.25" customHeight="1" x14ac:dyDescent="0.45">
      <c r="A238" s="26"/>
      <c r="B238" s="27"/>
      <c r="C238" s="27"/>
      <c r="D238" s="51"/>
      <c r="E238" s="103"/>
      <c r="F238" s="71"/>
      <c r="G238" s="99"/>
      <c r="H238" s="61"/>
      <c r="I238" s="27"/>
      <c r="J238" s="27"/>
      <c r="K238" s="32"/>
      <c r="L238" s="60"/>
      <c r="M238" s="37"/>
      <c r="N238" s="51"/>
      <c r="O238" s="37"/>
      <c r="P238" s="51"/>
      <c r="Q238" s="37"/>
      <c r="R238" s="38"/>
      <c r="S238" s="51"/>
      <c r="T238" s="27"/>
      <c r="U238" s="27"/>
      <c r="V238" s="38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</row>
    <row r="239" spans="1:40" ht="14.25" customHeight="1" x14ac:dyDescent="0.45">
      <c r="A239" s="26"/>
      <c r="B239" s="27"/>
      <c r="C239" s="27"/>
      <c r="D239" s="51"/>
      <c r="E239" s="103"/>
      <c r="F239" s="71"/>
      <c r="G239" s="99"/>
      <c r="H239" s="61"/>
      <c r="I239" s="27"/>
      <c r="J239" s="27"/>
      <c r="K239" s="32"/>
      <c r="L239" s="60"/>
      <c r="M239" s="37"/>
      <c r="N239" s="51"/>
      <c r="O239" s="37"/>
      <c r="P239" s="51"/>
      <c r="Q239" s="37"/>
      <c r="R239" s="38"/>
      <c r="S239" s="51"/>
      <c r="T239" s="27"/>
      <c r="U239" s="27"/>
      <c r="V239" s="38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</row>
    <row r="240" spans="1:40" ht="14.25" customHeight="1" x14ac:dyDescent="0.45">
      <c r="A240" s="26"/>
      <c r="B240" s="27"/>
      <c r="C240" s="27"/>
      <c r="D240" s="51"/>
      <c r="E240" s="103"/>
      <c r="F240" s="71"/>
      <c r="G240" s="99"/>
      <c r="H240" s="61"/>
      <c r="I240" s="27"/>
      <c r="J240" s="27"/>
      <c r="K240" s="32"/>
      <c r="L240" s="60"/>
      <c r="M240" s="37"/>
      <c r="N240" s="51"/>
      <c r="O240" s="37"/>
      <c r="P240" s="51"/>
      <c r="Q240" s="37"/>
      <c r="R240" s="38"/>
      <c r="S240" s="51"/>
      <c r="T240" s="27"/>
      <c r="U240" s="27"/>
      <c r="V240" s="38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</row>
    <row r="241" spans="1:40" ht="14.25" customHeight="1" x14ac:dyDescent="0.45">
      <c r="A241" s="26"/>
      <c r="B241" s="27"/>
      <c r="C241" s="27"/>
      <c r="D241" s="51"/>
      <c r="E241" s="103"/>
      <c r="F241" s="71"/>
      <c r="G241" s="99"/>
      <c r="H241" s="61"/>
      <c r="I241" s="27"/>
      <c r="J241" s="27"/>
      <c r="K241" s="32"/>
      <c r="L241" s="60"/>
      <c r="M241" s="37"/>
      <c r="N241" s="51"/>
      <c r="O241" s="37"/>
      <c r="P241" s="51"/>
      <c r="Q241" s="37"/>
      <c r="R241" s="38"/>
      <c r="S241" s="51"/>
      <c r="T241" s="27"/>
      <c r="U241" s="27"/>
      <c r="V241" s="38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</row>
    <row r="242" spans="1:40" ht="14.25" customHeight="1" x14ac:dyDescent="0.45">
      <c r="A242" s="26"/>
      <c r="B242" s="27"/>
      <c r="C242" s="27"/>
      <c r="D242" s="51"/>
      <c r="E242" s="103"/>
      <c r="F242" s="71"/>
      <c r="G242" s="99"/>
      <c r="H242" s="61"/>
      <c r="I242" s="27"/>
      <c r="J242" s="27"/>
      <c r="K242" s="32"/>
      <c r="L242" s="60"/>
      <c r="M242" s="37"/>
      <c r="N242" s="51"/>
      <c r="O242" s="37"/>
      <c r="P242" s="51"/>
      <c r="Q242" s="37"/>
      <c r="R242" s="38"/>
      <c r="S242" s="51"/>
      <c r="T242" s="27"/>
      <c r="U242" s="27"/>
      <c r="V242" s="38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</row>
    <row r="243" spans="1:40" ht="14.25" customHeight="1" x14ac:dyDescent="0.45">
      <c r="A243" s="26"/>
      <c r="B243" s="27"/>
      <c r="C243" s="27"/>
      <c r="D243" s="51"/>
      <c r="E243" s="103"/>
      <c r="F243" s="71"/>
      <c r="G243" s="99"/>
      <c r="H243" s="61"/>
      <c r="I243" s="27"/>
      <c r="J243" s="27"/>
      <c r="K243" s="32"/>
      <c r="L243" s="60"/>
      <c r="M243" s="37"/>
      <c r="N243" s="51"/>
      <c r="O243" s="37"/>
      <c r="P243" s="51"/>
      <c r="Q243" s="37"/>
      <c r="R243" s="38"/>
      <c r="S243" s="51"/>
      <c r="T243" s="27"/>
      <c r="U243" s="27"/>
      <c r="V243" s="38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</row>
    <row r="244" spans="1:40" ht="14.25" customHeight="1" x14ac:dyDescent="0.45">
      <c r="A244" s="26"/>
      <c r="B244" s="27"/>
      <c r="C244" s="27"/>
      <c r="D244" s="51"/>
      <c r="E244" s="103"/>
      <c r="F244" s="71"/>
      <c r="G244" s="99"/>
      <c r="H244" s="61"/>
      <c r="I244" s="27"/>
      <c r="J244" s="27"/>
      <c r="K244" s="32"/>
      <c r="L244" s="60"/>
      <c r="M244" s="37"/>
      <c r="N244" s="51"/>
      <c r="O244" s="37"/>
      <c r="P244" s="51"/>
      <c r="Q244" s="37"/>
      <c r="R244" s="38"/>
      <c r="S244" s="51"/>
      <c r="T244" s="27"/>
      <c r="U244" s="27"/>
      <c r="V244" s="38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</row>
    <row r="245" spans="1:40" ht="14.25" customHeight="1" x14ac:dyDescent="0.45">
      <c r="A245" s="26"/>
      <c r="B245" s="27"/>
      <c r="C245" s="27"/>
      <c r="D245" s="51"/>
      <c r="E245" s="103"/>
      <c r="F245" s="71"/>
      <c r="G245" s="99"/>
      <c r="H245" s="61"/>
      <c r="I245" s="27"/>
      <c r="J245" s="27"/>
      <c r="K245" s="32"/>
      <c r="L245" s="60"/>
      <c r="M245" s="37"/>
      <c r="N245" s="51"/>
      <c r="O245" s="37"/>
      <c r="P245" s="51"/>
      <c r="Q245" s="37"/>
      <c r="R245" s="38"/>
      <c r="S245" s="51"/>
      <c r="T245" s="27"/>
      <c r="U245" s="27"/>
      <c r="V245" s="38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</row>
    <row r="246" spans="1:40" ht="14.25" customHeight="1" x14ac:dyDescent="0.45">
      <c r="A246" s="26"/>
      <c r="B246" s="27"/>
      <c r="C246" s="27"/>
      <c r="D246" s="51"/>
      <c r="E246" s="103"/>
      <c r="F246" s="71"/>
      <c r="G246" s="99"/>
      <c r="H246" s="61"/>
      <c r="I246" s="27"/>
      <c r="J246" s="27"/>
      <c r="K246" s="32"/>
      <c r="L246" s="60"/>
      <c r="M246" s="37"/>
      <c r="N246" s="51"/>
      <c r="O246" s="37"/>
      <c r="P246" s="51"/>
      <c r="Q246" s="37"/>
      <c r="R246" s="38"/>
      <c r="S246" s="51"/>
      <c r="T246" s="27"/>
      <c r="U246" s="27"/>
      <c r="V246" s="38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</row>
    <row r="247" spans="1:40" ht="14.25" customHeight="1" x14ac:dyDescent="0.45">
      <c r="A247" s="26"/>
      <c r="B247" s="27"/>
      <c r="C247" s="27"/>
      <c r="D247" s="51"/>
      <c r="E247" s="103"/>
      <c r="F247" s="71"/>
      <c r="G247" s="99"/>
      <c r="H247" s="61"/>
      <c r="I247" s="27"/>
      <c r="J247" s="27"/>
      <c r="K247" s="32"/>
      <c r="L247" s="60"/>
      <c r="M247" s="37"/>
      <c r="N247" s="51"/>
      <c r="O247" s="37"/>
      <c r="P247" s="51"/>
      <c r="Q247" s="37"/>
      <c r="R247" s="38"/>
      <c r="S247" s="51"/>
      <c r="T247" s="27"/>
      <c r="U247" s="27"/>
      <c r="V247" s="38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</row>
    <row r="248" spans="1:40" ht="14.25" customHeight="1" x14ac:dyDescent="0.45">
      <c r="A248" s="26"/>
      <c r="B248" s="27"/>
      <c r="C248" s="27"/>
      <c r="D248" s="51"/>
      <c r="E248" s="103"/>
      <c r="F248" s="71"/>
      <c r="G248" s="99"/>
      <c r="H248" s="61"/>
      <c r="I248" s="27"/>
      <c r="J248" s="27"/>
      <c r="K248" s="32"/>
      <c r="L248" s="60"/>
      <c r="M248" s="37"/>
      <c r="N248" s="51"/>
      <c r="O248" s="37"/>
      <c r="P248" s="51"/>
      <c r="Q248" s="37"/>
      <c r="R248" s="38"/>
      <c r="S248" s="51"/>
      <c r="T248" s="27"/>
      <c r="U248" s="27"/>
      <c r="V248" s="38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</row>
    <row r="249" spans="1:40" ht="14.25" customHeight="1" x14ac:dyDescent="0.45">
      <c r="A249" s="26"/>
      <c r="B249" s="27"/>
      <c r="C249" s="27"/>
      <c r="D249" s="51"/>
      <c r="E249" s="103"/>
      <c r="F249" s="71"/>
      <c r="G249" s="99"/>
      <c r="H249" s="61"/>
      <c r="I249" s="27"/>
      <c r="J249" s="27"/>
      <c r="K249" s="32"/>
      <c r="L249" s="60"/>
      <c r="M249" s="37"/>
      <c r="N249" s="51"/>
      <c r="O249" s="37"/>
      <c r="P249" s="51"/>
      <c r="Q249" s="37"/>
      <c r="R249" s="38"/>
      <c r="S249" s="51"/>
      <c r="T249" s="27"/>
      <c r="U249" s="27"/>
      <c r="V249" s="38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</row>
    <row r="250" spans="1:40" ht="14.25" customHeight="1" x14ac:dyDescent="0.45">
      <c r="A250" s="26"/>
      <c r="B250" s="27"/>
      <c r="C250" s="27"/>
      <c r="D250" s="51"/>
      <c r="E250" s="103"/>
      <c r="F250" s="71"/>
      <c r="G250" s="99"/>
      <c r="H250" s="61"/>
      <c r="I250" s="27"/>
      <c r="J250" s="27"/>
      <c r="K250" s="32"/>
      <c r="L250" s="60"/>
      <c r="M250" s="37"/>
      <c r="N250" s="51"/>
      <c r="O250" s="37"/>
      <c r="P250" s="51"/>
      <c r="Q250" s="37"/>
      <c r="R250" s="38"/>
      <c r="S250" s="51"/>
      <c r="T250" s="27"/>
      <c r="U250" s="27"/>
      <c r="V250" s="38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</row>
    <row r="251" spans="1:40" ht="14.25" customHeight="1" x14ac:dyDescent="0.45">
      <c r="A251" s="26"/>
      <c r="B251" s="27"/>
      <c r="C251" s="27"/>
      <c r="D251" s="51"/>
      <c r="E251" s="103"/>
      <c r="F251" s="71"/>
      <c r="G251" s="99"/>
      <c r="H251" s="61"/>
      <c r="I251" s="27"/>
      <c r="J251" s="27"/>
      <c r="K251" s="32"/>
      <c r="L251" s="60"/>
      <c r="M251" s="37"/>
      <c r="N251" s="51"/>
      <c r="O251" s="37"/>
      <c r="P251" s="51"/>
      <c r="Q251" s="37"/>
      <c r="R251" s="38"/>
      <c r="S251" s="51"/>
      <c r="T251" s="27"/>
      <c r="U251" s="27"/>
      <c r="V251" s="38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</row>
    <row r="252" spans="1:40" ht="14.25" customHeight="1" x14ac:dyDescent="0.45">
      <c r="A252" s="26"/>
      <c r="B252" s="27"/>
      <c r="C252" s="27"/>
      <c r="D252" s="51"/>
      <c r="E252" s="103"/>
      <c r="F252" s="71"/>
      <c r="G252" s="99"/>
      <c r="H252" s="61"/>
      <c r="I252" s="27"/>
      <c r="J252" s="27"/>
      <c r="K252" s="32"/>
      <c r="L252" s="60"/>
      <c r="M252" s="37"/>
      <c r="N252" s="51"/>
      <c r="O252" s="37"/>
      <c r="P252" s="51"/>
      <c r="Q252" s="37"/>
      <c r="R252" s="38"/>
      <c r="S252" s="51"/>
      <c r="T252" s="27"/>
      <c r="U252" s="27"/>
      <c r="V252" s="38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</row>
    <row r="253" spans="1:40" ht="14.25" customHeight="1" x14ac:dyDescent="0.45">
      <c r="A253" s="26"/>
      <c r="B253" s="27"/>
      <c r="C253" s="27"/>
      <c r="D253" s="51"/>
      <c r="E253" s="103"/>
      <c r="F253" s="71"/>
      <c r="G253" s="99"/>
      <c r="H253" s="61"/>
      <c r="I253" s="27"/>
      <c r="J253" s="27"/>
      <c r="K253" s="32"/>
      <c r="L253" s="60"/>
      <c r="M253" s="37"/>
      <c r="N253" s="51"/>
      <c r="O253" s="37"/>
      <c r="P253" s="51"/>
      <c r="Q253" s="37"/>
      <c r="R253" s="38"/>
      <c r="S253" s="51"/>
      <c r="T253" s="27"/>
      <c r="U253" s="27"/>
      <c r="V253" s="38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</row>
    <row r="254" spans="1:40" ht="14.25" customHeight="1" x14ac:dyDescent="0.45">
      <c r="A254" s="26"/>
      <c r="B254" s="27"/>
      <c r="C254" s="27"/>
      <c r="D254" s="51"/>
      <c r="E254" s="103"/>
      <c r="F254" s="71"/>
      <c r="G254" s="99"/>
      <c r="H254" s="61"/>
      <c r="I254" s="27"/>
      <c r="J254" s="27"/>
      <c r="K254" s="32"/>
      <c r="L254" s="60"/>
      <c r="M254" s="37"/>
      <c r="N254" s="51"/>
      <c r="O254" s="37"/>
      <c r="P254" s="51"/>
      <c r="Q254" s="37"/>
      <c r="R254" s="38"/>
      <c r="S254" s="51"/>
      <c r="T254" s="27"/>
      <c r="U254" s="27"/>
      <c r="V254" s="38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</row>
    <row r="255" spans="1:40" ht="14.25" customHeight="1" x14ac:dyDescent="0.45">
      <c r="A255" s="26"/>
      <c r="B255" s="27"/>
      <c r="C255" s="27"/>
      <c r="D255" s="51"/>
      <c r="E255" s="103"/>
      <c r="F255" s="71"/>
      <c r="G255" s="99"/>
      <c r="H255" s="61"/>
      <c r="I255" s="27"/>
      <c r="J255" s="27"/>
      <c r="K255" s="32"/>
      <c r="L255" s="60"/>
      <c r="M255" s="37"/>
      <c r="N255" s="51"/>
      <c r="O255" s="37"/>
      <c r="P255" s="51"/>
      <c r="Q255" s="37"/>
      <c r="R255" s="38"/>
      <c r="S255" s="51"/>
      <c r="T255" s="27"/>
      <c r="U255" s="27"/>
      <c r="V255" s="38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</row>
    <row r="256" spans="1:40" ht="14.25" customHeight="1" x14ac:dyDescent="0.45">
      <c r="A256" s="26"/>
      <c r="B256" s="27"/>
      <c r="C256" s="27"/>
      <c r="D256" s="51"/>
      <c r="E256" s="103"/>
      <c r="F256" s="71"/>
      <c r="G256" s="99"/>
      <c r="H256" s="61"/>
      <c r="I256" s="27"/>
      <c r="J256" s="27"/>
      <c r="K256" s="32"/>
      <c r="L256" s="60"/>
      <c r="M256" s="37"/>
      <c r="N256" s="51"/>
      <c r="O256" s="37"/>
      <c r="P256" s="51"/>
      <c r="Q256" s="37"/>
      <c r="R256" s="38"/>
      <c r="S256" s="51"/>
      <c r="T256" s="27"/>
      <c r="U256" s="27"/>
      <c r="V256" s="38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</row>
    <row r="257" spans="1:40" ht="14.25" customHeight="1" x14ac:dyDescent="0.45">
      <c r="A257" s="26"/>
      <c r="B257" s="27"/>
      <c r="C257" s="27"/>
      <c r="D257" s="51"/>
      <c r="E257" s="103"/>
      <c r="F257" s="71"/>
      <c r="G257" s="99"/>
      <c r="H257" s="61"/>
      <c r="I257" s="27"/>
      <c r="J257" s="27"/>
      <c r="K257" s="32"/>
      <c r="L257" s="60"/>
      <c r="M257" s="37"/>
      <c r="N257" s="51"/>
      <c r="O257" s="37"/>
      <c r="P257" s="51"/>
      <c r="Q257" s="37"/>
      <c r="R257" s="38"/>
      <c r="S257" s="51"/>
      <c r="T257" s="27"/>
      <c r="U257" s="27"/>
      <c r="V257" s="38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</row>
    <row r="258" spans="1:40" ht="14.25" customHeight="1" x14ac:dyDescent="0.45">
      <c r="A258" s="26"/>
      <c r="B258" s="27"/>
      <c r="C258" s="27"/>
      <c r="D258" s="51"/>
      <c r="E258" s="103"/>
      <c r="F258" s="71"/>
      <c r="G258" s="99"/>
      <c r="H258" s="61"/>
      <c r="I258" s="27"/>
      <c r="J258" s="27"/>
      <c r="K258" s="32"/>
      <c r="L258" s="60"/>
      <c r="M258" s="37"/>
      <c r="N258" s="51"/>
      <c r="O258" s="37"/>
      <c r="P258" s="51"/>
      <c r="Q258" s="37"/>
      <c r="R258" s="38"/>
      <c r="S258" s="51"/>
      <c r="T258" s="27"/>
      <c r="U258" s="27"/>
      <c r="V258" s="38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</row>
    <row r="259" spans="1:40" ht="14.25" customHeight="1" x14ac:dyDescent="0.45">
      <c r="A259" s="26"/>
      <c r="B259" s="27"/>
      <c r="C259" s="27"/>
      <c r="D259" s="51"/>
      <c r="E259" s="103"/>
      <c r="F259" s="71"/>
      <c r="G259" s="99"/>
      <c r="H259" s="61"/>
      <c r="I259" s="27"/>
      <c r="J259" s="27"/>
      <c r="K259" s="32"/>
      <c r="L259" s="60"/>
      <c r="M259" s="37"/>
      <c r="N259" s="51"/>
      <c r="O259" s="37"/>
      <c r="P259" s="51"/>
      <c r="Q259" s="37"/>
      <c r="R259" s="38"/>
      <c r="S259" s="51"/>
      <c r="T259" s="27"/>
      <c r="U259" s="27"/>
      <c r="V259" s="38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</row>
    <row r="260" spans="1:40" ht="14.25" customHeight="1" x14ac:dyDescent="0.45">
      <c r="A260" s="26"/>
      <c r="B260" s="27"/>
      <c r="C260" s="27"/>
      <c r="D260" s="51"/>
      <c r="E260" s="103"/>
      <c r="F260" s="71"/>
      <c r="G260" s="99"/>
      <c r="H260" s="61"/>
      <c r="I260" s="27"/>
      <c r="J260" s="27"/>
      <c r="K260" s="32"/>
      <c r="L260" s="60"/>
      <c r="M260" s="37"/>
      <c r="N260" s="51"/>
      <c r="O260" s="37"/>
      <c r="P260" s="51"/>
      <c r="Q260" s="37"/>
      <c r="R260" s="38"/>
      <c r="S260" s="51"/>
      <c r="T260" s="27"/>
      <c r="U260" s="27"/>
      <c r="V260" s="38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</row>
    <row r="261" spans="1:40" ht="14.25" customHeight="1" x14ac:dyDescent="0.45">
      <c r="A261" s="26"/>
      <c r="B261" s="27"/>
      <c r="C261" s="27"/>
      <c r="D261" s="51"/>
      <c r="E261" s="103"/>
      <c r="F261" s="71"/>
      <c r="G261" s="99"/>
      <c r="H261" s="61"/>
      <c r="I261" s="27"/>
      <c r="J261" s="27"/>
      <c r="K261" s="32"/>
      <c r="L261" s="60"/>
      <c r="M261" s="37"/>
      <c r="N261" s="51"/>
      <c r="O261" s="37"/>
      <c r="P261" s="51"/>
      <c r="Q261" s="37"/>
      <c r="R261" s="38"/>
      <c r="S261" s="51"/>
      <c r="T261" s="27"/>
      <c r="U261" s="27"/>
      <c r="V261" s="38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</row>
    <row r="262" spans="1:40" ht="14.25" customHeight="1" x14ac:dyDescent="0.45">
      <c r="A262" s="26"/>
      <c r="B262" s="27"/>
      <c r="C262" s="27"/>
      <c r="D262" s="51"/>
      <c r="E262" s="103"/>
      <c r="F262" s="71"/>
      <c r="G262" s="99"/>
      <c r="H262" s="61"/>
      <c r="I262" s="27"/>
      <c r="J262" s="27"/>
      <c r="K262" s="32"/>
      <c r="L262" s="60"/>
      <c r="M262" s="37"/>
      <c r="N262" s="51"/>
      <c r="O262" s="37"/>
      <c r="P262" s="51"/>
      <c r="Q262" s="37"/>
      <c r="R262" s="38"/>
      <c r="S262" s="51"/>
      <c r="T262" s="27"/>
      <c r="U262" s="27"/>
      <c r="V262" s="38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</row>
    <row r="263" spans="1:40" ht="14.25" customHeight="1" x14ac:dyDescent="0.45">
      <c r="A263" s="26"/>
      <c r="B263" s="27"/>
      <c r="C263" s="27"/>
      <c r="D263" s="51"/>
      <c r="E263" s="103"/>
      <c r="F263" s="71"/>
      <c r="G263" s="99"/>
      <c r="H263" s="61"/>
      <c r="I263" s="27"/>
      <c r="J263" s="27"/>
      <c r="K263" s="32"/>
      <c r="L263" s="60"/>
      <c r="M263" s="37"/>
      <c r="N263" s="51"/>
      <c r="O263" s="37"/>
      <c r="P263" s="51"/>
      <c r="Q263" s="37"/>
      <c r="R263" s="38"/>
      <c r="S263" s="51"/>
      <c r="T263" s="27"/>
      <c r="U263" s="27"/>
      <c r="V263" s="38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</row>
    <row r="264" spans="1:40" ht="14.25" customHeight="1" x14ac:dyDescent="0.45">
      <c r="A264" s="26"/>
      <c r="B264" s="27"/>
      <c r="C264" s="27"/>
      <c r="D264" s="51"/>
      <c r="E264" s="103"/>
      <c r="F264" s="71"/>
      <c r="G264" s="99"/>
      <c r="H264" s="61"/>
      <c r="I264" s="27"/>
      <c r="J264" s="27"/>
      <c r="K264" s="32"/>
      <c r="L264" s="60"/>
      <c r="M264" s="37"/>
      <c r="N264" s="51"/>
      <c r="O264" s="37"/>
      <c r="P264" s="51"/>
      <c r="Q264" s="37"/>
      <c r="R264" s="38"/>
      <c r="S264" s="51"/>
      <c r="T264" s="27"/>
      <c r="U264" s="27"/>
      <c r="V264" s="38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</row>
    <row r="265" spans="1:40" ht="14.25" customHeight="1" x14ac:dyDescent="0.45">
      <c r="A265" s="26"/>
      <c r="B265" s="27"/>
      <c r="C265" s="27"/>
      <c r="D265" s="51"/>
      <c r="E265" s="103"/>
      <c r="F265" s="71"/>
      <c r="G265" s="99"/>
      <c r="H265" s="61"/>
      <c r="I265" s="27"/>
      <c r="J265" s="27"/>
      <c r="K265" s="32"/>
      <c r="L265" s="60"/>
      <c r="M265" s="37"/>
      <c r="N265" s="51"/>
      <c r="O265" s="37"/>
      <c r="P265" s="51"/>
      <c r="Q265" s="37"/>
      <c r="R265" s="38"/>
      <c r="S265" s="51"/>
      <c r="T265" s="27"/>
      <c r="U265" s="27"/>
      <c r="V265" s="38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</row>
    <row r="266" spans="1:40" ht="14.25" customHeight="1" x14ac:dyDescent="0.45">
      <c r="A266" s="26"/>
      <c r="B266" s="27"/>
      <c r="C266" s="27"/>
      <c r="D266" s="51"/>
      <c r="E266" s="103"/>
      <c r="F266" s="71"/>
      <c r="G266" s="99"/>
      <c r="H266" s="61"/>
      <c r="I266" s="27"/>
      <c r="J266" s="27"/>
      <c r="K266" s="32"/>
      <c r="L266" s="60"/>
      <c r="M266" s="37"/>
      <c r="N266" s="51"/>
      <c r="O266" s="37"/>
      <c r="P266" s="51"/>
      <c r="Q266" s="37"/>
      <c r="R266" s="38"/>
      <c r="S266" s="51"/>
      <c r="T266" s="27"/>
      <c r="U266" s="27"/>
      <c r="V266" s="38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</row>
    <row r="267" spans="1:40" ht="14.25" customHeight="1" x14ac:dyDescent="0.45">
      <c r="A267" s="26"/>
      <c r="B267" s="27"/>
      <c r="C267" s="27"/>
      <c r="D267" s="51"/>
      <c r="E267" s="103"/>
      <c r="F267" s="71"/>
      <c r="G267" s="99"/>
      <c r="H267" s="61"/>
      <c r="I267" s="27"/>
      <c r="J267" s="27"/>
      <c r="K267" s="32"/>
      <c r="L267" s="60"/>
      <c r="M267" s="37"/>
      <c r="N267" s="51"/>
      <c r="O267" s="37"/>
      <c r="P267" s="51"/>
      <c r="Q267" s="37"/>
      <c r="R267" s="38"/>
      <c r="S267" s="51"/>
      <c r="T267" s="27"/>
      <c r="U267" s="27"/>
      <c r="V267" s="38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</row>
    <row r="268" spans="1:40" ht="14.25" customHeight="1" x14ac:dyDescent="0.45">
      <c r="A268" s="26"/>
      <c r="B268" s="27"/>
      <c r="C268" s="27"/>
      <c r="D268" s="51"/>
      <c r="E268" s="103"/>
      <c r="F268" s="71"/>
      <c r="G268" s="99"/>
      <c r="H268" s="61"/>
      <c r="I268" s="27"/>
      <c r="J268" s="27"/>
      <c r="K268" s="32"/>
      <c r="L268" s="60"/>
      <c r="M268" s="37"/>
      <c r="N268" s="51"/>
      <c r="O268" s="37"/>
      <c r="P268" s="51"/>
      <c r="Q268" s="37"/>
      <c r="R268" s="38"/>
      <c r="S268" s="51"/>
      <c r="T268" s="27"/>
      <c r="U268" s="27"/>
      <c r="V268" s="38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</row>
    <row r="269" spans="1:40" ht="14.25" customHeight="1" x14ac:dyDescent="0.45">
      <c r="A269" s="26"/>
      <c r="B269" s="27"/>
      <c r="C269" s="27"/>
      <c r="D269" s="51"/>
      <c r="E269" s="103"/>
      <c r="F269" s="71"/>
      <c r="G269" s="99"/>
      <c r="H269" s="61"/>
      <c r="I269" s="27"/>
      <c r="J269" s="27"/>
      <c r="K269" s="32"/>
      <c r="L269" s="60"/>
      <c r="M269" s="37"/>
      <c r="N269" s="51"/>
      <c r="O269" s="37"/>
      <c r="P269" s="51"/>
      <c r="Q269" s="37"/>
      <c r="R269" s="38"/>
      <c r="S269" s="51"/>
      <c r="T269" s="27"/>
      <c r="U269" s="27"/>
      <c r="V269" s="38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</row>
    <row r="270" spans="1:40" ht="14.25" customHeight="1" x14ac:dyDescent="0.45">
      <c r="A270" s="26"/>
      <c r="B270" s="27"/>
      <c r="C270" s="27"/>
      <c r="D270" s="51"/>
      <c r="E270" s="103"/>
      <c r="F270" s="71"/>
      <c r="G270" s="99"/>
      <c r="H270" s="61"/>
      <c r="I270" s="27"/>
      <c r="J270" s="27"/>
      <c r="K270" s="32"/>
      <c r="L270" s="60"/>
      <c r="M270" s="37"/>
      <c r="N270" s="51"/>
      <c r="O270" s="37"/>
      <c r="P270" s="51"/>
      <c r="Q270" s="37"/>
      <c r="R270" s="38"/>
      <c r="S270" s="51"/>
      <c r="T270" s="27"/>
      <c r="U270" s="27"/>
      <c r="V270" s="38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</row>
    <row r="271" spans="1:40" ht="14.25" customHeight="1" x14ac:dyDescent="0.45">
      <c r="A271" s="26"/>
      <c r="B271" s="27"/>
      <c r="C271" s="27"/>
      <c r="D271" s="51"/>
      <c r="E271" s="103"/>
      <c r="F271" s="71"/>
      <c r="G271" s="99"/>
      <c r="H271" s="61"/>
      <c r="I271" s="27"/>
      <c r="J271" s="27"/>
      <c r="K271" s="32"/>
      <c r="L271" s="60"/>
      <c r="M271" s="37"/>
      <c r="N271" s="51"/>
      <c r="O271" s="37"/>
      <c r="P271" s="51"/>
      <c r="Q271" s="37"/>
      <c r="R271" s="38"/>
      <c r="S271" s="51"/>
      <c r="T271" s="27"/>
      <c r="U271" s="27"/>
      <c r="V271" s="38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</row>
    <row r="272" spans="1:40" ht="14.25" customHeight="1" x14ac:dyDescent="0.45">
      <c r="A272" s="26"/>
      <c r="B272" s="27"/>
      <c r="C272" s="27"/>
      <c r="D272" s="51"/>
      <c r="E272" s="103"/>
      <c r="F272" s="71"/>
      <c r="G272" s="99"/>
      <c r="H272" s="61"/>
      <c r="I272" s="27"/>
      <c r="J272" s="27"/>
      <c r="K272" s="32"/>
      <c r="L272" s="60"/>
      <c r="M272" s="37"/>
      <c r="N272" s="51"/>
      <c r="O272" s="37"/>
      <c r="P272" s="51"/>
      <c r="Q272" s="37"/>
      <c r="R272" s="38"/>
      <c r="S272" s="51"/>
      <c r="T272" s="27"/>
      <c r="U272" s="27"/>
      <c r="V272" s="38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</row>
    <row r="273" spans="1:40" ht="14.25" customHeight="1" x14ac:dyDescent="0.45">
      <c r="A273" s="26"/>
      <c r="B273" s="27"/>
      <c r="C273" s="27"/>
      <c r="D273" s="51"/>
      <c r="E273" s="103"/>
      <c r="F273" s="71"/>
      <c r="G273" s="99"/>
      <c r="H273" s="61"/>
      <c r="I273" s="27"/>
      <c r="J273" s="27"/>
      <c r="K273" s="32"/>
      <c r="L273" s="60"/>
      <c r="M273" s="37"/>
      <c r="N273" s="51"/>
      <c r="O273" s="37"/>
      <c r="P273" s="51"/>
      <c r="Q273" s="37"/>
      <c r="R273" s="38"/>
      <c r="S273" s="51"/>
      <c r="T273" s="27"/>
      <c r="U273" s="27"/>
      <c r="V273" s="38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</row>
    <row r="274" spans="1:40" ht="14.25" customHeight="1" x14ac:dyDescent="0.45">
      <c r="A274" s="26"/>
      <c r="B274" s="27"/>
      <c r="C274" s="27"/>
      <c r="D274" s="51"/>
      <c r="E274" s="103"/>
      <c r="F274" s="71"/>
      <c r="G274" s="99"/>
      <c r="H274" s="61"/>
      <c r="I274" s="27"/>
      <c r="J274" s="27"/>
      <c r="K274" s="32"/>
      <c r="L274" s="60"/>
      <c r="M274" s="37"/>
      <c r="N274" s="51"/>
      <c r="O274" s="37"/>
      <c r="P274" s="51"/>
      <c r="Q274" s="37"/>
      <c r="R274" s="38"/>
      <c r="S274" s="51"/>
      <c r="T274" s="27"/>
      <c r="U274" s="27"/>
      <c r="V274" s="38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</row>
    <row r="275" spans="1:40" ht="14.25" customHeight="1" x14ac:dyDescent="0.45">
      <c r="A275" s="26"/>
      <c r="B275" s="27"/>
      <c r="C275" s="27"/>
      <c r="D275" s="51"/>
      <c r="E275" s="103"/>
      <c r="F275" s="71"/>
      <c r="G275" s="99"/>
      <c r="H275" s="61"/>
      <c r="I275" s="27"/>
      <c r="J275" s="27"/>
      <c r="K275" s="32"/>
      <c r="L275" s="60"/>
      <c r="M275" s="37"/>
      <c r="N275" s="51"/>
      <c r="O275" s="37"/>
      <c r="P275" s="51"/>
      <c r="Q275" s="37"/>
      <c r="R275" s="38"/>
      <c r="S275" s="51"/>
      <c r="T275" s="27"/>
      <c r="U275" s="27"/>
      <c r="V275" s="38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</row>
    <row r="276" spans="1:40" ht="14.25" customHeight="1" x14ac:dyDescent="0.45">
      <c r="A276" s="26"/>
      <c r="B276" s="27"/>
      <c r="C276" s="27"/>
      <c r="D276" s="51"/>
      <c r="E276" s="103"/>
      <c r="F276" s="71"/>
      <c r="G276" s="99"/>
      <c r="H276" s="61"/>
      <c r="I276" s="27"/>
      <c r="J276" s="27"/>
      <c r="K276" s="32"/>
      <c r="L276" s="60"/>
      <c r="M276" s="37"/>
      <c r="N276" s="51"/>
      <c r="O276" s="37"/>
      <c r="P276" s="51"/>
      <c r="Q276" s="37"/>
      <c r="R276" s="38"/>
      <c r="S276" s="51"/>
      <c r="T276" s="27"/>
      <c r="U276" s="27"/>
      <c r="V276" s="38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</row>
    <row r="277" spans="1:40" ht="14.25" customHeight="1" x14ac:dyDescent="0.45">
      <c r="A277" s="26"/>
      <c r="B277" s="27"/>
      <c r="C277" s="27"/>
      <c r="D277" s="51"/>
      <c r="E277" s="103"/>
      <c r="F277" s="71"/>
      <c r="G277" s="99"/>
      <c r="H277" s="61"/>
      <c r="I277" s="27"/>
      <c r="J277" s="27"/>
      <c r="K277" s="32"/>
      <c r="L277" s="60"/>
      <c r="M277" s="37"/>
      <c r="N277" s="51"/>
      <c r="O277" s="37"/>
      <c r="P277" s="51"/>
      <c r="Q277" s="37"/>
      <c r="R277" s="38"/>
      <c r="S277" s="51"/>
      <c r="T277" s="27"/>
      <c r="U277" s="27"/>
      <c r="V277" s="38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</row>
    <row r="278" spans="1:40" ht="14.25" customHeight="1" x14ac:dyDescent="0.45">
      <c r="A278" s="26"/>
      <c r="B278" s="27"/>
      <c r="C278" s="27"/>
      <c r="D278" s="51"/>
      <c r="E278" s="103"/>
      <c r="F278" s="71"/>
      <c r="G278" s="99"/>
      <c r="H278" s="61"/>
      <c r="I278" s="27"/>
      <c r="J278" s="27"/>
      <c r="K278" s="32"/>
      <c r="L278" s="60"/>
      <c r="M278" s="37"/>
      <c r="N278" s="51"/>
      <c r="O278" s="37"/>
      <c r="P278" s="51"/>
      <c r="Q278" s="37"/>
      <c r="R278" s="38"/>
      <c r="S278" s="51"/>
      <c r="T278" s="27"/>
      <c r="U278" s="27"/>
      <c r="V278" s="38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</row>
    <row r="279" spans="1:40" ht="14.25" customHeight="1" x14ac:dyDescent="0.45">
      <c r="A279" s="26"/>
      <c r="B279" s="27"/>
      <c r="C279" s="27"/>
      <c r="D279" s="51"/>
      <c r="E279" s="103"/>
      <c r="F279" s="71"/>
      <c r="G279" s="99"/>
      <c r="H279" s="61"/>
      <c r="I279" s="27"/>
      <c r="J279" s="27"/>
      <c r="K279" s="32"/>
      <c r="L279" s="60"/>
      <c r="M279" s="37"/>
      <c r="N279" s="51"/>
      <c r="O279" s="37"/>
      <c r="P279" s="51"/>
      <c r="Q279" s="37"/>
      <c r="R279" s="38"/>
      <c r="S279" s="51"/>
      <c r="T279" s="27"/>
      <c r="U279" s="27"/>
      <c r="V279" s="38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</row>
    <row r="280" spans="1:40" ht="14.25" customHeight="1" x14ac:dyDescent="0.45">
      <c r="A280" s="26"/>
      <c r="B280" s="27"/>
      <c r="C280" s="27"/>
      <c r="D280" s="51"/>
      <c r="E280" s="103"/>
      <c r="F280" s="71"/>
      <c r="G280" s="99"/>
      <c r="H280" s="61"/>
      <c r="I280" s="27"/>
      <c r="J280" s="27"/>
      <c r="K280" s="32"/>
      <c r="L280" s="60"/>
      <c r="M280" s="37"/>
      <c r="N280" s="51"/>
      <c r="O280" s="37"/>
      <c r="P280" s="51"/>
      <c r="Q280" s="37"/>
      <c r="R280" s="38"/>
      <c r="S280" s="51"/>
      <c r="T280" s="27"/>
      <c r="U280" s="27"/>
      <c r="V280" s="38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</row>
    <row r="281" spans="1:40" ht="14.25" customHeight="1" x14ac:dyDescent="0.45">
      <c r="A281" s="26"/>
      <c r="B281" s="27"/>
      <c r="C281" s="27"/>
      <c r="D281" s="51"/>
      <c r="E281" s="103"/>
      <c r="F281" s="71"/>
      <c r="G281" s="99"/>
      <c r="H281" s="61"/>
      <c r="I281" s="27"/>
      <c r="J281" s="27"/>
      <c r="K281" s="32"/>
      <c r="L281" s="60"/>
      <c r="M281" s="37"/>
      <c r="N281" s="51"/>
      <c r="O281" s="37"/>
      <c r="P281" s="51"/>
      <c r="Q281" s="37"/>
      <c r="R281" s="38"/>
      <c r="S281" s="51"/>
      <c r="T281" s="27"/>
      <c r="U281" s="27"/>
      <c r="V281" s="38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</row>
    <row r="282" spans="1:40" ht="14.25" customHeight="1" x14ac:dyDescent="0.45">
      <c r="A282" s="26"/>
      <c r="B282" s="27"/>
      <c r="C282" s="27"/>
      <c r="D282" s="51"/>
      <c r="E282" s="103"/>
      <c r="F282" s="71"/>
      <c r="G282" s="99"/>
      <c r="H282" s="61"/>
      <c r="I282" s="27"/>
      <c r="J282" s="27"/>
      <c r="K282" s="32"/>
      <c r="L282" s="60"/>
      <c r="M282" s="37"/>
      <c r="N282" s="51"/>
      <c r="O282" s="37"/>
      <c r="P282" s="51"/>
      <c r="Q282" s="37"/>
      <c r="R282" s="38"/>
      <c r="S282" s="51"/>
      <c r="T282" s="27"/>
      <c r="U282" s="27"/>
      <c r="V282" s="38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</row>
    <row r="283" spans="1:40" ht="14.25" customHeight="1" x14ac:dyDescent="0.45">
      <c r="A283" s="26"/>
      <c r="B283" s="27"/>
      <c r="C283" s="27"/>
      <c r="D283" s="51"/>
      <c r="E283" s="103"/>
      <c r="F283" s="71"/>
      <c r="G283" s="99"/>
      <c r="H283" s="61"/>
      <c r="I283" s="27"/>
      <c r="J283" s="27"/>
      <c r="K283" s="32"/>
      <c r="L283" s="60"/>
      <c r="M283" s="37"/>
      <c r="N283" s="51"/>
      <c r="O283" s="37"/>
      <c r="P283" s="51"/>
      <c r="Q283" s="37"/>
      <c r="R283" s="38"/>
      <c r="S283" s="51"/>
      <c r="T283" s="27"/>
      <c r="U283" s="27"/>
      <c r="V283" s="38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</row>
    <row r="284" spans="1:40" ht="14.25" customHeight="1" x14ac:dyDescent="0.45">
      <c r="A284" s="26"/>
      <c r="B284" s="27"/>
      <c r="C284" s="27"/>
      <c r="D284" s="51"/>
      <c r="E284" s="103"/>
      <c r="F284" s="71"/>
      <c r="G284" s="99"/>
      <c r="H284" s="61"/>
      <c r="I284" s="27"/>
      <c r="J284" s="27"/>
      <c r="K284" s="32"/>
      <c r="L284" s="60"/>
      <c r="M284" s="37"/>
      <c r="N284" s="51"/>
      <c r="O284" s="37"/>
      <c r="P284" s="51"/>
      <c r="Q284" s="37"/>
      <c r="R284" s="38"/>
      <c r="S284" s="51"/>
      <c r="T284" s="27"/>
      <c r="U284" s="27"/>
      <c r="V284" s="38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</row>
    <row r="285" spans="1:40" ht="14.25" customHeight="1" x14ac:dyDescent="0.45">
      <c r="A285" s="26"/>
      <c r="B285" s="27"/>
      <c r="C285" s="27"/>
      <c r="D285" s="51"/>
      <c r="E285" s="103"/>
      <c r="F285" s="71"/>
      <c r="G285" s="99"/>
      <c r="H285" s="61"/>
      <c r="I285" s="27"/>
      <c r="J285" s="27"/>
      <c r="K285" s="32"/>
      <c r="L285" s="60"/>
      <c r="M285" s="37"/>
      <c r="N285" s="51"/>
      <c r="O285" s="37"/>
      <c r="P285" s="51"/>
      <c r="Q285" s="37"/>
      <c r="R285" s="38"/>
      <c r="S285" s="51"/>
      <c r="T285" s="27"/>
      <c r="U285" s="27"/>
      <c r="V285" s="38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</row>
    <row r="286" spans="1:40" ht="14.25" customHeight="1" x14ac:dyDescent="0.45">
      <c r="A286" s="27"/>
      <c r="B286" s="27"/>
      <c r="C286" s="27"/>
      <c r="D286" s="27"/>
      <c r="E286" s="27"/>
      <c r="F286" s="82"/>
      <c r="G286" s="82"/>
      <c r="H286" s="27"/>
      <c r="I286" s="27"/>
      <c r="J286" s="27"/>
      <c r="K286" s="27"/>
      <c r="L286" s="27"/>
      <c r="M286" s="27"/>
      <c r="N286" s="27"/>
      <c r="O286" s="27"/>
      <c r="P286" s="27"/>
      <c r="Q286" s="38"/>
      <c r="R286" s="38"/>
      <c r="S286" s="27"/>
      <c r="T286" s="27"/>
      <c r="U286" s="27"/>
      <c r="V286" s="38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</row>
    <row r="287" spans="1:40" ht="14.25" customHeight="1" x14ac:dyDescent="0.45">
      <c r="A287" s="27"/>
      <c r="B287" s="27"/>
      <c r="C287" s="27"/>
      <c r="D287" s="27"/>
      <c r="E287" s="27"/>
      <c r="F287" s="82"/>
      <c r="G287" s="82"/>
      <c r="H287" s="27"/>
      <c r="I287" s="27"/>
      <c r="J287" s="27"/>
      <c r="K287" s="27"/>
      <c r="L287" s="27"/>
      <c r="M287" s="27"/>
      <c r="N287" s="27"/>
      <c r="O287" s="27"/>
      <c r="P287" s="27"/>
      <c r="Q287" s="38"/>
      <c r="R287" s="38"/>
      <c r="S287" s="27"/>
      <c r="T287" s="27"/>
      <c r="U287" s="27"/>
      <c r="V287" s="38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</row>
    <row r="288" spans="1:40" ht="14.25" customHeight="1" x14ac:dyDescent="0.45">
      <c r="A288" s="27"/>
      <c r="B288" s="27"/>
      <c r="C288" s="27"/>
      <c r="D288" s="27"/>
      <c r="E288" s="27"/>
      <c r="F288" s="82"/>
      <c r="G288" s="82"/>
      <c r="H288" s="27"/>
      <c r="I288" s="27"/>
      <c r="J288" s="27"/>
      <c r="K288" s="27"/>
      <c r="L288" s="27"/>
      <c r="M288" s="27"/>
      <c r="N288" s="27"/>
      <c r="O288" s="27"/>
      <c r="P288" s="27"/>
      <c r="Q288" s="38"/>
      <c r="R288" s="38"/>
      <c r="S288" s="27"/>
      <c r="T288" s="27"/>
      <c r="U288" s="27"/>
      <c r="V288" s="38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</row>
    <row r="289" spans="1:40" ht="14.25" customHeight="1" x14ac:dyDescent="0.45">
      <c r="A289" s="27"/>
      <c r="B289" s="27"/>
      <c r="C289" s="27"/>
      <c r="D289" s="27"/>
      <c r="E289" s="27"/>
      <c r="F289" s="82"/>
      <c r="G289" s="82"/>
      <c r="H289" s="27"/>
      <c r="I289" s="27"/>
      <c r="J289" s="27"/>
      <c r="K289" s="27"/>
      <c r="L289" s="27"/>
      <c r="M289" s="27"/>
      <c r="N289" s="27"/>
      <c r="O289" s="27"/>
      <c r="P289" s="27"/>
      <c r="Q289" s="38"/>
      <c r="R289" s="38"/>
      <c r="S289" s="27"/>
      <c r="T289" s="27"/>
      <c r="U289" s="27"/>
      <c r="V289" s="38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</row>
    <row r="290" spans="1:40" ht="14.25" customHeight="1" x14ac:dyDescent="0.45">
      <c r="A290" s="27"/>
      <c r="B290" s="27"/>
      <c r="C290" s="27"/>
      <c r="D290" s="27"/>
      <c r="E290" s="27"/>
      <c r="F290" s="82"/>
      <c r="G290" s="82"/>
      <c r="H290" s="27"/>
      <c r="I290" s="27"/>
      <c r="J290" s="27"/>
      <c r="K290" s="27"/>
      <c r="L290" s="27"/>
      <c r="M290" s="27"/>
      <c r="N290" s="27"/>
      <c r="O290" s="27"/>
      <c r="P290" s="27"/>
      <c r="Q290" s="38"/>
      <c r="R290" s="38"/>
      <c r="S290" s="27"/>
      <c r="T290" s="27"/>
      <c r="U290" s="27"/>
      <c r="V290" s="38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</row>
    <row r="291" spans="1:40" ht="14.25" customHeight="1" x14ac:dyDescent="0.45">
      <c r="A291" s="27"/>
      <c r="B291" s="27"/>
      <c r="C291" s="27"/>
      <c r="D291" s="27"/>
      <c r="E291" s="27"/>
      <c r="F291" s="82"/>
      <c r="G291" s="82"/>
      <c r="H291" s="27"/>
      <c r="I291" s="27"/>
      <c r="J291" s="27"/>
      <c r="K291" s="27"/>
      <c r="L291" s="27"/>
      <c r="M291" s="27"/>
      <c r="N291" s="27"/>
      <c r="O291" s="27"/>
      <c r="P291" s="27"/>
      <c r="Q291" s="38"/>
      <c r="R291" s="38"/>
      <c r="S291" s="27"/>
      <c r="T291" s="27"/>
      <c r="U291" s="27"/>
      <c r="V291" s="38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</row>
    <row r="292" spans="1:40" ht="14.25" customHeight="1" x14ac:dyDescent="0.45">
      <c r="A292" s="27"/>
      <c r="B292" s="27"/>
      <c r="C292" s="27"/>
      <c r="D292" s="27"/>
      <c r="E292" s="27"/>
      <c r="F292" s="82"/>
      <c r="G292" s="82"/>
      <c r="H292" s="27"/>
      <c r="I292" s="27"/>
      <c r="J292" s="27"/>
      <c r="K292" s="27"/>
      <c r="L292" s="27"/>
      <c r="M292" s="27"/>
      <c r="N292" s="27"/>
      <c r="O292" s="27"/>
      <c r="P292" s="27"/>
      <c r="Q292" s="38"/>
      <c r="R292" s="38"/>
      <c r="S292" s="27"/>
      <c r="T292" s="27"/>
      <c r="U292" s="27"/>
      <c r="V292" s="38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</row>
    <row r="293" spans="1:40" ht="14.25" customHeight="1" x14ac:dyDescent="0.45">
      <c r="A293" s="27"/>
      <c r="B293" s="27"/>
      <c r="C293" s="27"/>
      <c r="D293" s="27"/>
      <c r="E293" s="27"/>
      <c r="F293" s="82"/>
      <c r="G293" s="82"/>
      <c r="H293" s="27"/>
      <c r="I293" s="27"/>
      <c r="J293" s="27"/>
      <c r="K293" s="27"/>
      <c r="L293" s="27"/>
      <c r="M293" s="27"/>
      <c r="N293" s="27"/>
      <c r="O293" s="27"/>
      <c r="P293" s="27"/>
      <c r="Q293" s="38"/>
      <c r="R293" s="38"/>
      <c r="S293" s="27"/>
      <c r="T293" s="27"/>
      <c r="U293" s="27"/>
      <c r="V293" s="38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</row>
    <row r="294" spans="1:40" ht="14.25" customHeight="1" x14ac:dyDescent="0.45">
      <c r="A294" s="27"/>
      <c r="B294" s="27"/>
      <c r="C294" s="27"/>
      <c r="D294" s="27"/>
      <c r="E294" s="27"/>
      <c r="F294" s="82"/>
      <c r="G294" s="82"/>
      <c r="H294" s="27"/>
      <c r="I294" s="27"/>
      <c r="J294" s="27"/>
      <c r="K294" s="27"/>
      <c r="L294" s="27"/>
      <c r="M294" s="27"/>
      <c r="N294" s="27"/>
      <c r="O294" s="27"/>
      <c r="P294" s="27"/>
      <c r="Q294" s="38"/>
      <c r="R294" s="38"/>
      <c r="S294" s="27"/>
      <c r="T294" s="27"/>
      <c r="U294" s="27"/>
      <c r="V294" s="38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</row>
    <row r="295" spans="1:40" ht="14.25" customHeight="1" x14ac:dyDescent="0.45">
      <c r="A295" s="27"/>
      <c r="B295" s="27"/>
      <c r="C295" s="27"/>
      <c r="D295" s="27"/>
      <c r="E295" s="27"/>
      <c r="F295" s="82"/>
      <c r="G295" s="82"/>
      <c r="H295" s="27"/>
      <c r="I295" s="27"/>
      <c r="J295" s="27"/>
      <c r="K295" s="27"/>
      <c r="L295" s="27"/>
      <c r="M295" s="27"/>
      <c r="N295" s="27"/>
      <c r="O295" s="27"/>
      <c r="P295" s="27"/>
      <c r="Q295" s="38"/>
      <c r="R295" s="38"/>
      <c r="S295" s="27"/>
      <c r="T295" s="27"/>
      <c r="U295" s="27"/>
      <c r="V295" s="38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</row>
    <row r="296" spans="1:40" ht="14.25" customHeight="1" x14ac:dyDescent="0.45">
      <c r="A296" s="27"/>
      <c r="B296" s="27"/>
      <c r="C296" s="27"/>
      <c r="D296" s="27"/>
      <c r="E296" s="27"/>
      <c r="F296" s="82"/>
      <c r="G296" s="82"/>
      <c r="H296" s="27"/>
      <c r="I296" s="27"/>
      <c r="J296" s="27"/>
      <c r="K296" s="27"/>
      <c r="L296" s="27"/>
      <c r="M296" s="27"/>
      <c r="N296" s="27"/>
      <c r="O296" s="27"/>
      <c r="P296" s="27"/>
      <c r="Q296" s="38"/>
      <c r="R296" s="38"/>
      <c r="S296" s="27"/>
      <c r="T296" s="27"/>
      <c r="U296" s="27"/>
      <c r="V296" s="38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</row>
    <row r="297" spans="1:40" ht="14.25" customHeight="1" x14ac:dyDescent="0.45">
      <c r="A297" s="27"/>
      <c r="B297" s="27"/>
      <c r="C297" s="27"/>
      <c r="D297" s="27"/>
      <c r="E297" s="27"/>
      <c r="F297" s="82"/>
      <c r="G297" s="82"/>
      <c r="H297" s="27"/>
      <c r="I297" s="27"/>
      <c r="J297" s="27"/>
      <c r="K297" s="27"/>
      <c r="L297" s="27"/>
      <c r="M297" s="27"/>
      <c r="N297" s="27"/>
      <c r="O297" s="27"/>
      <c r="P297" s="27"/>
      <c r="Q297" s="38"/>
      <c r="R297" s="38"/>
      <c r="S297" s="27"/>
      <c r="T297" s="27"/>
      <c r="U297" s="27"/>
      <c r="V297" s="38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</row>
    <row r="298" spans="1:40" ht="14.25" customHeight="1" x14ac:dyDescent="0.45">
      <c r="A298" s="27"/>
      <c r="B298" s="27"/>
      <c r="C298" s="27"/>
      <c r="D298" s="27"/>
      <c r="E298" s="27"/>
      <c r="F298" s="82"/>
      <c r="G298" s="82"/>
      <c r="H298" s="27"/>
      <c r="I298" s="27"/>
      <c r="J298" s="27"/>
      <c r="K298" s="27"/>
      <c r="L298" s="27"/>
      <c r="M298" s="27"/>
      <c r="N298" s="27"/>
      <c r="O298" s="27"/>
      <c r="P298" s="27"/>
      <c r="Q298" s="38"/>
      <c r="R298" s="38"/>
      <c r="S298" s="27"/>
      <c r="T298" s="27"/>
      <c r="U298" s="27"/>
      <c r="V298" s="38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</row>
    <row r="299" spans="1:40" ht="14.25" customHeight="1" x14ac:dyDescent="0.45">
      <c r="A299" s="27"/>
      <c r="B299" s="27"/>
      <c r="C299" s="27"/>
      <c r="D299" s="27"/>
      <c r="E299" s="27"/>
      <c r="F299" s="82"/>
      <c r="G299" s="82"/>
      <c r="H299" s="27"/>
      <c r="I299" s="27"/>
      <c r="J299" s="27"/>
      <c r="K299" s="27"/>
      <c r="L299" s="27"/>
      <c r="M299" s="27"/>
      <c r="N299" s="27"/>
      <c r="O299" s="27"/>
      <c r="P299" s="27"/>
      <c r="Q299" s="38"/>
      <c r="R299" s="38"/>
      <c r="S299" s="27"/>
      <c r="T299" s="27"/>
      <c r="U299" s="27"/>
      <c r="V299" s="38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</row>
    <row r="300" spans="1:40" ht="14.25" customHeight="1" x14ac:dyDescent="0.45">
      <c r="A300" s="27"/>
      <c r="B300" s="27"/>
      <c r="C300" s="27"/>
      <c r="D300" s="27"/>
      <c r="E300" s="27"/>
      <c r="F300" s="82"/>
      <c r="G300" s="82"/>
      <c r="H300" s="27"/>
      <c r="I300" s="27"/>
      <c r="J300" s="27"/>
      <c r="K300" s="27"/>
      <c r="L300" s="27"/>
      <c r="M300" s="27"/>
      <c r="N300" s="27"/>
      <c r="O300" s="27"/>
      <c r="P300" s="27"/>
      <c r="Q300" s="38"/>
      <c r="R300" s="38"/>
      <c r="S300" s="27"/>
      <c r="T300" s="27"/>
      <c r="U300" s="27"/>
      <c r="V300" s="38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</row>
    <row r="301" spans="1:40" ht="14.25" customHeight="1" x14ac:dyDescent="0.45">
      <c r="A301" s="27"/>
      <c r="B301" s="27"/>
      <c r="C301" s="27"/>
      <c r="D301" s="27"/>
      <c r="E301" s="27"/>
      <c r="F301" s="82"/>
      <c r="G301" s="82"/>
      <c r="H301" s="27"/>
      <c r="I301" s="27"/>
      <c r="J301" s="27"/>
      <c r="K301" s="27"/>
      <c r="L301" s="27"/>
      <c r="M301" s="27"/>
      <c r="N301" s="27"/>
      <c r="O301" s="27"/>
      <c r="P301" s="27"/>
      <c r="Q301" s="38"/>
      <c r="R301" s="38"/>
      <c r="S301" s="27"/>
      <c r="T301" s="27"/>
      <c r="U301" s="27"/>
      <c r="V301" s="38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</row>
    <row r="302" spans="1:40" ht="14.25" customHeight="1" x14ac:dyDescent="0.45">
      <c r="A302" s="27"/>
      <c r="B302" s="27"/>
      <c r="C302" s="27"/>
      <c r="D302" s="27"/>
      <c r="E302" s="27"/>
      <c r="F302" s="82"/>
      <c r="G302" s="82"/>
      <c r="H302" s="27"/>
      <c r="I302" s="27"/>
      <c r="J302" s="27"/>
      <c r="K302" s="27"/>
      <c r="L302" s="27"/>
      <c r="M302" s="27"/>
      <c r="N302" s="27"/>
      <c r="O302" s="27"/>
      <c r="P302" s="27"/>
      <c r="Q302" s="38"/>
      <c r="R302" s="38"/>
      <c r="S302" s="27"/>
      <c r="T302" s="27"/>
      <c r="U302" s="27"/>
      <c r="V302" s="38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</row>
    <row r="303" spans="1:40" ht="14.25" customHeight="1" x14ac:dyDescent="0.45">
      <c r="A303" s="27"/>
      <c r="B303" s="27"/>
      <c r="C303" s="27"/>
      <c r="D303" s="27"/>
      <c r="E303" s="27"/>
      <c r="F303" s="82"/>
      <c r="G303" s="82"/>
      <c r="H303" s="27"/>
      <c r="I303" s="27"/>
      <c r="J303" s="27"/>
      <c r="K303" s="27"/>
      <c r="L303" s="27"/>
      <c r="M303" s="27"/>
      <c r="N303" s="27"/>
      <c r="O303" s="27"/>
      <c r="P303" s="27"/>
      <c r="Q303" s="38"/>
      <c r="R303" s="38"/>
      <c r="S303" s="27"/>
      <c r="T303" s="27"/>
      <c r="U303" s="27"/>
      <c r="V303" s="38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</row>
    <row r="304" spans="1:40" ht="14.25" customHeight="1" x14ac:dyDescent="0.45">
      <c r="A304" s="27"/>
      <c r="B304" s="27"/>
      <c r="C304" s="27"/>
      <c r="D304" s="27"/>
      <c r="E304" s="27"/>
      <c r="F304" s="82"/>
      <c r="G304" s="82"/>
      <c r="H304" s="27"/>
      <c r="I304" s="27"/>
      <c r="J304" s="27"/>
      <c r="K304" s="27"/>
      <c r="L304" s="27"/>
      <c r="M304" s="27"/>
      <c r="N304" s="27"/>
      <c r="O304" s="27"/>
      <c r="P304" s="27"/>
      <c r="Q304" s="38"/>
      <c r="R304" s="38"/>
      <c r="S304" s="27"/>
      <c r="T304" s="27"/>
      <c r="U304" s="27"/>
      <c r="V304" s="38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</row>
    <row r="305" spans="1:40" ht="14.25" customHeight="1" x14ac:dyDescent="0.45">
      <c r="A305" s="27"/>
      <c r="B305" s="27"/>
      <c r="C305" s="27"/>
      <c r="D305" s="27"/>
      <c r="E305" s="27"/>
      <c r="F305" s="82"/>
      <c r="G305" s="82"/>
      <c r="H305" s="27"/>
      <c r="I305" s="27"/>
      <c r="J305" s="27"/>
      <c r="K305" s="27"/>
      <c r="L305" s="27"/>
      <c r="M305" s="27"/>
      <c r="N305" s="27"/>
      <c r="O305" s="27"/>
      <c r="P305" s="27"/>
      <c r="Q305" s="38"/>
      <c r="R305" s="38"/>
      <c r="S305" s="27"/>
      <c r="T305" s="27"/>
      <c r="U305" s="27"/>
      <c r="V305" s="38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</row>
    <row r="306" spans="1:40" ht="14.25" customHeight="1" x14ac:dyDescent="0.45">
      <c r="A306" s="27"/>
      <c r="B306" s="27"/>
      <c r="C306" s="27"/>
      <c r="D306" s="27"/>
      <c r="E306" s="27"/>
      <c r="F306" s="82"/>
      <c r="G306" s="82"/>
      <c r="H306" s="27"/>
      <c r="I306" s="27"/>
      <c r="J306" s="27"/>
      <c r="K306" s="27"/>
      <c r="L306" s="27"/>
      <c r="M306" s="27"/>
      <c r="N306" s="27"/>
      <c r="O306" s="27"/>
      <c r="P306" s="27"/>
      <c r="Q306" s="38"/>
      <c r="R306" s="38"/>
      <c r="S306" s="27"/>
      <c r="T306" s="27"/>
      <c r="U306" s="27"/>
      <c r="V306" s="38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</row>
    <row r="307" spans="1:40" ht="14.25" customHeight="1" x14ac:dyDescent="0.45">
      <c r="A307" s="27"/>
      <c r="B307" s="27"/>
      <c r="C307" s="27"/>
      <c r="D307" s="27"/>
      <c r="E307" s="27"/>
      <c r="F307" s="82"/>
      <c r="G307" s="82"/>
      <c r="H307" s="27"/>
      <c r="I307" s="27"/>
      <c r="J307" s="27"/>
      <c r="K307" s="27"/>
      <c r="L307" s="27"/>
      <c r="M307" s="27"/>
      <c r="N307" s="27"/>
      <c r="O307" s="27"/>
      <c r="P307" s="27"/>
      <c r="Q307" s="38"/>
      <c r="R307" s="38"/>
      <c r="S307" s="27"/>
      <c r="T307" s="27"/>
      <c r="U307" s="27"/>
      <c r="V307" s="38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</row>
    <row r="308" spans="1:40" ht="14.25" customHeight="1" x14ac:dyDescent="0.45">
      <c r="A308" s="27"/>
      <c r="B308" s="27"/>
      <c r="C308" s="27"/>
      <c r="D308" s="27"/>
      <c r="E308" s="27"/>
      <c r="F308" s="82"/>
      <c r="G308" s="82"/>
      <c r="H308" s="27"/>
      <c r="I308" s="27"/>
      <c r="J308" s="27"/>
      <c r="K308" s="27"/>
      <c r="L308" s="27"/>
      <c r="M308" s="27"/>
      <c r="N308" s="27"/>
      <c r="O308" s="27"/>
      <c r="P308" s="27"/>
      <c r="Q308" s="38"/>
      <c r="R308" s="38"/>
      <c r="S308" s="27"/>
      <c r="T308" s="27"/>
      <c r="U308" s="27"/>
      <c r="V308" s="38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</row>
    <row r="309" spans="1:40" ht="14.25" customHeight="1" x14ac:dyDescent="0.45">
      <c r="A309" s="27"/>
      <c r="B309" s="27"/>
      <c r="C309" s="27"/>
      <c r="D309" s="27"/>
      <c r="E309" s="27"/>
      <c r="F309" s="82"/>
      <c r="G309" s="82"/>
      <c r="H309" s="27"/>
      <c r="I309" s="27"/>
      <c r="J309" s="27"/>
      <c r="K309" s="27"/>
      <c r="L309" s="27"/>
      <c r="M309" s="27"/>
      <c r="N309" s="27"/>
      <c r="O309" s="27"/>
      <c r="P309" s="27"/>
      <c r="Q309" s="38"/>
      <c r="R309" s="38"/>
      <c r="S309" s="27"/>
      <c r="T309" s="27"/>
      <c r="U309" s="27"/>
      <c r="V309" s="38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</row>
    <row r="310" spans="1:40" ht="14.25" customHeight="1" x14ac:dyDescent="0.45">
      <c r="A310" s="27"/>
      <c r="B310" s="27"/>
      <c r="C310" s="27"/>
      <c r="D310" s="27"/>
      <c r="E310" s="27"/>
      <c r="F310" s="82"/>
      <c r="G310" s="82"/>
      <c r="H310" s="27"/>
      <c r="I310" s="27"/>
      <c r="J310" s="27"/>
      <c r="K310" s="27"/>
      <c r="L310" s="27"/>
      <c r="M310" s="27"/>
      <c r="N310" s="27"/>
      <c r="O310" s="27"/>
      <c r="P310" s="27"/>
      <c r="Q310" s="38"/>
      <c r="R310" s="38"/>
      <c r="S310" s="27"/>
      <c r="T310" s="27"/>
      <c r="U310" s="27"/>
      <c r="V310" s="38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</row>
    <row r="311" spans="1:40" ht="14.25" customHeight="1" x14ac:dyDescent="0.45">
      <c r="A311" s="27"/>
      <c r="B311" s="27"/>
      <c r="C311" s="27"/>
      <c r="D311" s="27"/>
      <c r="E311" s="27"/>
      <c r="F311" s="82"/>
      <c r="G311" s="82"/>
      <c r="H311" s="27"/>
      <c r="I311" s="27"/>
      <c r="J311" s="27"/>
      <c r="K311" s="27"/>
      <c r="L311" s="27"/>
      <c r="M311" s="27"/>
      <c r="N311" s="27"/>
      <c r="O311" s="27"/>
      <c r="P311" s="27"/>
      <c r="Q311" s="38"/>
      <c r="R311" s="38"/>
      <c r="S311" s="27"/>
      <c r="T311" s="27"/>
      <c r="U311" s="27"/>
      <c r="V311" s="38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</row>
    <row r="312" spans="1:40" ht="14.25" customHeight="1" x14ac:dyDescent="0.45">
      <c r="A312" s="27"/>
      <c r="B312" s="27"/>
      <c r="C312" s="27"/>
      <c r="D312" s="27"/>
      <c r="E312" s="27"/>
      <c r="F312" s="82"/>
      <c r="G312" s="82"/>
      <c r="H312" s="27"/>
      <c r="I312" s="27"/>
      <c r="J312" s="27"/>
      <c r="K312" s="27"/>
      <c r="L312" s="27"/>
      <c r="M312" s="27"/>
      <c r="N312" s="27"/>
      <c r="O312" s="27"/>
      <c r="P312" s="27"/>
      <c r="Q312" s="38"/>
      <c r="R312" s="38"/>
      <c r="S312" s="27"/>
      <c r="T312" s="27"/>
      <c r="U312" s="27"/>
      <c r="V312" s="38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</row>
    <row r="313" spans="1:40" ht="14.25" customHeight="1" x14ac:dyDescent="0.45">
      <c r="A313" s="27"/>
      <c r="B313" s="27"/>
      <c r="C313" s="27"/>
      <c r="D313" s="27"/>
      <c r="E313" s="27"/>
      <c r="F313" s="82"/>
      <c r="G313" s="82"/>
      <c r="H313" s="27"/>
      <c r="I313" s="27"/>
      <c r="J313" s="27"/>
      <c r="K313" s="27"/>
      <c r="L313" s="27"/>
      <c r="M313" s="27"/>
      <c r="N313" s="27"/>
      <c r="O313" s="27"/>
      <c r="P313" s="27"/>
      <c r="Q313" s="38"/>
      <c r="R313" s="38"/>
      <c r="S313" s="27"/>
      <c r="T313" s="27"/>
      <c r="U313" s="27"/>
      <c r="V313" s="38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</row>
    <row r="314" spans="1:40" ht="14.25" customHeight="1" x14ac:dyDescent="0.45">
      <c r="A314" s="27"/>
      <c r="B314" s="27"/>
      <c r="C314" s="27"/>
      <c r="D314" s="27"/>
      <c r="E314" s="27"/>
      <c r="F314" s="82"/>
      <c r="G314" s="82"/>
      <c r="H314" s="27"/>
      <c r="I314" s="27"/>
      <c r="J314" s="27"/>
      <c r="K314" s="27"/>
      <c r="L314" s="27"/>
      <c r="M314" s="27"/>
      <c r="N314" s="27"/>
      <c r="O314" s="27"/>
      <c r="P314" s="27"/>
      <c r="Q314" s="38"/>
      <c r="R314" s="38"/>
      <c r="S314" s="27"/>
      <c r="T314" s="27"/>
      <c r="U314" s="27"/>
      <c r="V314" s="38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</row>
    <row r="315" spans="1:40" ht="14.25" customHeight="1" x14ac:dyDescent="0.45">
      <c r="A315" s="27"/>
      <c r="B315" s="27"/>
      <c r="C315" s="27"/>
      <c r="D315" s="27"/>
      <c r="E315" s="27"/>
      <c r="F315" s="82"/>
      <c r="G315" s="82"/>
      <c r="H315" s="27"/>
      <c r="I315" s="27"/>
      <c r="J315" s="27"/>
      <c r="K315" s="27"/>
      <c r="L315" s="27"/>
      <c r="M315" s="27"/>
      <c r="N315" s="27"/>
      <c r="O315" s="27"/>
      <c r="P315" s="27"/>
      <c r="Q315" s="38"/>
      <c r="R315" s="38"/>
      <c r="S315" s="27"/>
      <c r="T315" s="27"/>
      <c r="U315" s="27"/>
      <c r="V315" s="38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</row>
    <row r="316" spans="1:40" ht="14.25" customHeight="1" x14ac:dyDescent="0.45">
      <c r="A316" s="27"/>
      <c r="B316" s="27"/>
      <c r="C316" s="27"/>
      <c r="D316" s="27"/>
      <c r="E316" s="27"/>
      <c r="F316" s="82"/>
      <c r="G316" s="82"/>
      <c r="H316" s="27"/>
      <c r="I316" s="27"/>
      <c r="J316" s="27"/>
      <c r="K316" s="27"/>
      <c r="L316" s="27"/>
      <c r="M316" s="27"/>
      <c r="N316" s="27"/>
      <c r="O316" s="27"/>
      <c r="P316" s="27"/>
      <c r="Q316" s="38"/>
      <c r="R316" s="38"/>
      <c r="S316" s="27"/>
      <c r="T316" s="27"/>
      <c r="U316" s="27"/>
      <c r="V316" s="38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</row>
    <row r="317" spans="1:40" ht="14.25" customHeight="1" x14ac:dyDescent="0.45">
      <c r="A317" s="27"/>
      <c r="B317" s="27"/>
      <c r="C317" s="27"/>
      <c r="D317" s="27"/>
      <c r="E317" s="27"/>
      <c r="F317" s="82"/>
      <c r="G317" s="82"/>
      <c r="H317" s="27"/>
      <c r="I317" s="27"/>
      <c r="J317" s="27"/>
      <c r="K317" s="27"/>
      <c r="L317" s="27"/>
      <c r="M317" s="27"/>
      <c r="N317" s="27"/>
      <c r="O317" s="27"/>
      <c r="P317" s="27"/>
      <c r="Q317" s="38"/>
      <c r="R317" s="38"/>
      <c r="S317" s="27"/>
      <c r="T317" s="27"/>
      <c r="U317" s="27"/>
      <c r="V317" s="38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</row>
    <row r="318" spans="1:40" ht="14.25" customHeight="1" x14ac:dyDescent="0.45">
      <c r="A318" s="27"/>
      <c r="B318" s="27"/>
      <c r="C318" s="27"/>
      <c r="D318" s="27"/>
      <c r="E318" s="27"/>
      <c r="F318" s="82"/>
      <c r="G318" s="82"/>
      <c r="H318" s="27"/>
      <c r="I318" s="27"/>
      <c r="J318" s="27"/>
      <c r="K318" s="27"/>
      <c r="L318" s="27"/>
      <c r="M318" s="27"/>
      <c r="N318" s="27"/>
      <c r="O318" s="27"/>
      <c r="P318" s="27"/>
      <c r="Q318" s="38"/>
      <c r="R318" s="38"/>
      <c r="S318" s="27"/>
      <c r="T318" s="27"/>
      <c r="U318" s="27"/>
      <c r="V318" s="38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</row>
    <row r="319" spans="1:40" ht="14.25" customHeight="1" x14ac:dyDescent="0.45">
      <c r="A319" s="27"/>
      <c r="B319" s="27"/>
      <c r="C319" s="27"/>
      <c r="D319" s="27"/>
      <c r="E319" s="27"/>
      <c r="F319" s="82"/>
      <c r="G319" s="82"/>
      <c r="H319" s="27"/>
      <c r="I319" s="27"/>
      <c r="J319" s="27"/>
      <c r="K319" s="27"/>
      <c r="L319" s="27"/>
      <c r="M319" s="27"/>
      <c r="N319" s="27"/>
      <c r="O319" s="27"/>
      <c r="P319" s="27"/>
      <c r="Q319" s="38"/>
      <c r="R319" s="38"/>
      <c r="S319" s="27"/>
      <c r="T319" s="27"/>
      <c r="U319" s="27"/>
      <c r="V319" s="38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</row>
    <row r="320" spans="1:40" ht="14.25" customHeight="1" x14ac:dyDescent="0.45">
      <c r="A320" s="27"/>
      <c r="B320" s="27"/>
      <c r="C320" s="27"/>
      <c r="D320" s="27"/>
      <c r="E320" s="27"/>
      <c r="F320" s="82"/>
      <c r="G320" s="82"/>
      <c r="H320" s="27"/>
      <c r="I320" s="27"/>
      <c r="J320" s="27"/>
      <c r="K320" s="27"/>
      <c r="L320" s="27"/>
      <c r="M320" s="27"/>
      <c r="N320" s="27"/>
      <c r="O320" s="27"/>
      <c r="P320" s="27"/>
      <c r="Q320" s="38"/>
      <c r="R320" s="38"/>
      <c r="S320" s="27"/>
      <c r="T320" s="27"/>
      <c r="U320" s="27"/>
      <c r="V320" s="38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</row>
    <row r="321" spans="1:40" ht="14.25" customHeight="1" x14ac:dyDescent="0.45">
      <c r="A321" s="27"/>
      <c r="B321" s="27"/>
      <c r="C321" s="27"/>
      <c r="D321" s="27"/>
      <c r="E321" s="27"/>
      <c r="F321" s="82"/>
      <c r="G321" s="82"/>
      <c r="H321" s="27"/>
      <c r="I321" s="27"/>
      <c r="J321" s="27"/>
      <c r="K321" s="27"/>
      <c r="L321" s="27"/>
      <c r="M321" s="27"/>
      <c r="N321" s="27"/>
      <c r="O321" s="27"/>
      <c r="P321" s="27"/>
      <c r="Q321" s="38"/>
      <c r="R321" s="38"/>
      <c r="S321" s="27"/>
      <c r="T321" s="27"/>
      <c r="U321" s="27"/>
      <c r="V321" s="38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</row>
    <row r="322" spans="1:40" ht="14.25" customHeight="1" x14ac:dyDescent="0.45">
      <c r="A322" s="27"/>
      <c r="B322" s="27"/>
      <c r="C322" s="27"/>
      <c r="D322" s="27"/>
      <c r="E322" s="27"/>
      <c r="F322" s="82"/>
      <c r="G322" s="82"/>
      <c r="H322" s="27"/>
      <c r="I322" s="27"/>
      <c r="J322" s="27"/>
      <c r="K322" s="27"/>
      <c r="L322" s="27"/>
      <c r="M322" s="27"/>
      <c r="N322" s="27"/>
      <c r="O322" s="27"/>
      <c r="P322" s="27"/>
      <c r="Q322" s="38"/>
      <c r="R322" s="38"/>
      <c r="S322" s="27"/>
      <c r="T322" s="27"/>
      <c r="U322" s="27"/>
      <c r="V322" s="38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</row>
    <row r="323" spans="1:40" ht="14.25" customHeight="1" x14ac:dyDescent="0.45">
      <c r="A323" s="27"/>
      <c r="B323" s="27"/>
      <c r="C323" s="27"/>
      <c r="D323" s="27"/>
      <c r="E323" s="27"/>
      <c r="F323" s="82"/>
      <c r="G323" s="82"/>
      <c r="H323" s="27"/>
      <c r="I323" s="27"/>
      <c r="J323" s="27"/>
      <c r="K323" s="27"/>
      <c r="L323" s="27"/>
      <c r="M323" s="27"/>
      <c r="N323" s="27"/>
      <c r="O323" s="27"/>
      <c r="P323" s="27"/>
      <c r="Q323" s="38"/>
      <c r="R323" s="38"/>
      <c r="S323" s="27"/>
      <c r="T323" s="27"/>
      <c r="U323" s="27"/>
      <c r="V323" s="38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</row>
    <row r="324" spans="1:40" ht="14.25" customHeight="1" x14ac:dyDescent="0.45">
      <c r="A324" s="27"/>
      <c r="B324" s="27"/>
      <c r="C324" s="27"/>
      <c r="D324" s="27"/>
      <c r="E324" s="27"/>
      <c r="F324" s="82"/>
      <c r="G324" s="82"/>
      <c r="H324" s="27"/>
      <c r="I324" s="27"/>
      <c r="J324" s="27"/>
      <c r="K324" s="27"/>
      <c r="L324" s="27"/>
      <c r="M324" s="27"/>
      <c r="N324" s="27"/>
      <c r="O324" s="27"/>
      <c r="P324" s="27"/>
      <c r="Q324" s="38"/>
      <c r="R324" s="38"/>
      <c r="S324" s="27"/>
      <c r="T324" s="27"/>
      <c r="U324" s="27"/>
      <c r="V324" s="38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</row>
    <row r="325" spans="1:40" ht="14.25" customHeight="1" x14ac:dyDescent="0.45">
      <c r="A325" s="27"/>
      <c r="B325" s="27"/>
      <c r="C325" s="27"/>
      <c r="D325" s="27"/>
      <c r="E325" s="27"/>
      <c r="F325" s="82"/>
      <c r="G325" s="82"/>
      <c r="H325" s="27"/>
      <c r="I325" s="27"/>
      <c r="J325" s="27"/>
      <c r="K325" s="27"/>
      <c r="L325" s="27"/>
      <c r="M325" s="27"/>
      <c r="N325" s="27"/>
      <c r="O325" s="27"/>
      <c r="P325" s="27"/>
      <c r="Q325" s="38"/>
      <c r="R325" s="38"/>
      <c r="S325" s="27"/>
      <c r="T325" s="27"/>
      <c r="U325" s="27"/>
      <c r="V325" s="38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</row>
    <row r="326" spans="1:40" ht="14.25" customHeight="1" x14ac:dyDescent="0.45">
      <c r="A326" s="27"/>
      <c r="B326" s="27"/>
      <c r="C326" s="27"/>
      <c r="D326" s="27"/>
      <c r="E326" s="27"/>
      <c r="F326" s="82"/>
      <c r="G326" s="82"/>
      <c r="H326" s="27"/>
      <c r="I326" s="27"/>
      <c r="J326" s="27"/>
      <c r="K326" s="27"/>
      <c r="L326" s="27"/>
      <c r="M326" s="27"/>
      <c r="N326" s="27"/>
      <c r="O326" s="27"/>
      <c r="P326" s="27"/>
      <c r="Q326" s="38"/>
      <c r="R326" s="38"/>
      <c r="S326" s="27"/>
      <c r="T326" s="27"/>
      <c r="U326" s="27"/>
      <c r="V326" s="38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</row>
    <row r="327" spans="1:40" ht="14.25" customHeight="1" x14ac:dyDescent="0.45">
      <c r="A327" s="27"/>
      <c r="B327" s="27"/>
      <c r="C327" s="27"/>
      <c r="D327" s="27"/>
      <c r="E327" s="27"/>
      <c r="F327" s="82"/>
      <c r="G327" s="82"/>
      <c r="H327" s="27"/>
      <c r="I327" s="27"/>
      <c r="J327" s="27"/>
      <c r="K327" s="27"/>
      <c r="L327" s="27"/>
      <c r="M327" s="27"/>
      <c r="N327" s="27"/>
      <c r="O327" s="27"/>
      <c r="P327" s="27"/>
      <c r="Q327" s="38"/>
      <c r="R327" s="38"/>
      <c r="S327" s="27"/>
      <c r="T327" s="27"/>
      <c r="U327" s="27"/>
      <c r="V327" s="38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</row>
    <row r="328" spans="1:40" ht="14.25" customHeight="1" x14ac:dyDescent="0.45">
      <c r="A328" s="27"/>
      <c r="B328" s="27"/>
      <c r="C328" s="27"/>
      <c r="D328" s="27"/>
      <c r="E328" s="27"/>
      <c r="F328" s="82"/>
      <c r="G328" s="82"/>
      <c r="H328" s="27"/>
      <c r="I328" s="27"/>
      <c r="J328" s="27"/>
      <c r="K328" s="27"/>
      <c r="L328" s="27"/>
      <c r="M328" s="27"/>
      <c r="N328" s="27"/>
      <c r="O328" s="27"/>
      <c r="P328" s="27"/>
      <c r="Q328" s="38"/>
      <c r="R328" s="38"/>
      <c r="S328" s="27"/>
      <c r="T328" s="27"/>
      <c r="U328" s="27"/>
      <c r="V328" s="38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</row>
    <row r="329" spans="1:40" ht="14.25" customHeight="1" x14ac:dyDescent="0.45">
      <c r="A329" s="27"/>
      <c r="B329" s="27"/>
      <c r="C329" s="27"/>
      <c r="D329" s="27"/>
      <c r="E329" s="27"/>
      <c r="F329" s="82"/>
      <c r="G329" s="82"/>
      <c r="H329" s="27"/>
      <c r="I329" s="27"/>
      <c r="J329" s="27"/>
      <c r="K329" s="27"/>
      <c r="L329" s="27"/>
      <c r="M329" s="27"/>
      <c r="N329" s="27"/>
      <c r="O329" s="27"/>
      <c r="P329" s="27"/>
      <c r="Q329" s="38"/>
      <c r="R329" s="38"/>
      <c r="S329" s="27"/>
      <c r="T329" s="27"/>
      <c r="U329" s="27"/>
      <c r="V329" s="38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</row>
    <row r="330" spans="1:40" ht="14.25" customHeight="1" x14ac:dyDescent="0.45">
      <c r="A330" s="27"/>
      <c r="B330" s="27"/>
      <c r="C330" s="27"/>
      <c r="D330" s="27"/>
      <c r="E330" s="27"/>
      <c r="F330" s="82"/>
      <c r="G330" s="82"/>
      <c r="H330" s="27"/>
      <c r="I330" s="27"/>
      <c r="J330" s="27"/>
      <c r="K330" s="27"/>
      <c r="L330" s="27"/>
      <c r="M330" s="27"/>
      <c r="N330" s="27"/>
      <c r="O330" s="27"/>
      <c r="P330" s="27"/>
      <c r="Q330" s="38"/>
      <c r="R330" s="38"/>
      <c r="S330" s="27"/>
      <c r="T330" s="27"/>
      <c r="U330" s="27"/>
      <c r="V330" s="38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</row>
    <row r="331" spans="1:40" ht="14.25" customHeight="1" x14ac:dyDescent="0.45">
      <c r="A331" s="27"/>
      <c r="B331" s="27"/>
      <c r="C331" s="27"/>
      <c r="D331" s="27"/>
      <c r="E331" s="27"/>
      <c r="F331" s="82"/>
      <c r="G331" s="82"/>
      <c r="H331" s="27"/>
      <c r="I331" s="27"/>
      <c r="J331" s="27"/>
      <c r="K331" s="27"/>
      <c r="L331" s="27"/>
      <c r="M331" s="27"/>
      <c r="N331" s="27"/>
      <c r="O331" s="27"/>
      <c r="P331" s="27"/>
      <c r="Q331" s="38"/>
      <c r="R331" s="38"/>
      <c r="S331" s="27"/>
      <c r="T331" s="27"/>
      <c r="U331" s="27"/>
      <c r="V331" s="38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</row>
    <row r="332" spans="1:40" ht="14.25" customHeight="1" x14ac:dyDescent="0.45">
      <c r="A332" s="27"/>
      <c r="B332" s="27"/>
      <c r="C332" s="27"/>
      <c r="D332" s="27"/>
      <c r="E332" s="27"/>
      <c r="F332" s="82"/>
      <c r="G332" s="82"/>
      <c r="H332" s="27"/>
      <c r="I332" s="27"/>
      <c r="J332" s="27"/>
      <c r="K332" s="27"/>
      <c r="L332" s="27"/>
      <c r="M332" s="27"/>
      <c r="N332" s="27"/>
      <c r="O332" s="27"/>
      <c r="P332" s="27"/>
      <c r="Q332" s="38"/>
      <c r="R332" s="38"/>
      <c r="S332" s="27"/>
      <c r="T332" s="27"/>
      <c r="U332" s="27"/>
      <c r="V332" s="38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</row>
    <row r="333" spans="1:40" ht="14.25" customHeight="1" x14ac:dyDescent="0.45">
      <c r="A333" s="27"/>
      <c r="B333" s="27"/>
      <c r="C333" s="27"/>
      <c r="D333" s="27"/>
      <c r="E333" s="27"/>
      <c r="F333" s="82"/>
      <c r="G333" s="82"/>
      <c r="H333" s="27"/>
      <c r="I333" s="27"/>
      <c r="J333" s="27"/>
      <c r="K333" s="27"/>
      <c r="L333" s="27"/>
      <c r="M333" s="27"/>
      <c r="N333" s="27"/>
      <c r="O333" s="27"/>
      <c r="P333" s="27"/>
      <c r="Q333" s="38"/>
      <c r="R333" s="38"/>
      <c r="S333" s="27"/>
      <c r="T333" s="27"/>
      <c r="U333" s="27"/>
      <c r="V333" s="38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</row>
    <row r="334" spans="1:40" ht="14.25" customHeight="1" x14ac:dyDescent="0.45">
      <c r="A334" s="27"/>
      <c r="B334" s="27"/>
      <c r="C334" s="27"/>
      <c r="D334" s="27"/>
      <c r="E334" s="27"/>
      <c r="F334" s="82"/>
      <c r="G334" s="82"/>
      <c r="H334" s="27"/>
      <c r="I334" s="27"/>
      <c r="J334" s="27"/>
      <c r="K334" s="27"/>
      <c r="L334" s="27"/>
      <c r="M334" s="27"/>
      <c r="N334" s="27"/>
      <c r="O334" s="27"/>
      <c r="P334" s="27"/>
      <c r="Q334" s="38"/>
      <c r="R334" s="38"/>
      <c r="S334" s="27"/>
      <c r="T334" s="27"/>
      <c r="U334" s="27"/>
      <c r="V334" s="38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</row>
    <row r="335" spans="1:40" ht="14.25" customHeight="1" x14ac:dyDescent="0.45">
      <c r="A335" s="27"/>
      <c r="B335" s="27"/>
      <c r="C335" s="27"/>
      <c r="D335" s="27"/>
      <c r="E335" s="27"/>
      <c r="F335" s="82"/>
      <c r="G335" s="82"/>
      <c r="H335" s="27"/>
      <c r="I335" s="27"/>
      <c r="J335" s="27"/>
      <c r="K335" s="27"/>
      <c r="L335" s="27"/>
      <c r="M335" s="27"/>
      <c r="N335" s="27"/>
      <c r="O335" s="27"/>
      <c r="P335" s="27"/>
      <c r="Q335" s="38"/>
      <c r="R335" s="38"/>
      <c r="S335" s="27"/>
      <c r="T335" s="27"/>
      <c r="U335" s="27"/>
      <c r="V335" s="38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</row>
    <row r="336" spans="1:40" ht="14.25" customHeight="1" x14ac:dyDescent="0.45">
      <c r="A336" s="27"/>
      <c r="B336" s="27"/>
      <c r="C336" s="27"/>
      <c r="D336" s="27"/>
      <c r="E336" s="27"/>
      <c r="F336" s="82"/>
      <c r="G336" s="82"/>
      <c r="H336" s="27"/>
      <c r="I336" s="27"/>
      <c r="J336" s="27"/>
      <c r="K336" s="27"/>
      <c r="L336" s="27"/>
      <c r="M336" s="27"/>
      <c r="N336" s="27"/>
      <c r="O336" s="27"/>
      <c r="P336" s="27"/>
      <c r="Q336" s="38"/>
      <c r="R336" s="38"/>
      <c r="S336" s="27"/>
      <c r="T336" s="27"/>
      <c r="U336" s="27"/>
      <c r="V336" s="38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</row>
    <row r="337" spans="1:40" ht="14.25" customHeight="1" x14ac:dyDescent="0.45">
      <c r="A337" s="27"/>
      <c r="B337" s="27"/>
      <c r="C337" s="27"/>
      <c r="D337" s="27"/>
      <c r="E337" s="27"/>
      <c r="F337" s="82"/>
      <c r="G337" s="82"/>
      <c r="H337" s="27"/>
      <c r="I337" s="27"/>
      <c r="J337" s="27"/>
      <c r="K337" s="27"/>
      <c r="L337" s="27"/>
      <c r="M337" s="27"/>
      <c r="N337" s="27"/>
      <c r="O337" s="27"/>
      <c r="P337" s="27"/>
      <c r="Q337" s="38"/>
      <c r="R337" s="38"/>
      <c r="S337" s="27"/>
      <c r="T337" s="27"/>
      <c r="U337" s="27"/>
      <c r="V337" s="38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</row>
    <row r="338" spans="1:40" ht="14.25" customHeight="1" x14ac:dyDescent="0.45">
      <c r="A338" s="27"/>
      <c r="B338" s="27"/>
      <c r="C338" s="27"/>
      <c r="D338" s="27"/>
      <c r="E338" s="27"/>
      <c r="F338" s="82"/>
      <c r="G338" s="82"/>
      <c r="H338" s="27"/>
      <c r="I338" s="27"/>
      <c r="J338" s="27"/>
      <c r="K338" s="27"/>
      <c r="L338" s="27"/>
      <c r="M338" s="27"/>
      <c r="N338" s="27"/>
      <c r="O338" s="27"/>
      <c r="P338" s="27"/>
      <c r="Q338" s="38"/>
      <c r="R338" s="38"/>
      <c r="S338" s="27"/>
      <c r="T338" s="27"/>
      <c r="U338" s="27"/>
      <c r="V338" s="38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</row>
    <row r="339" spans="1:40" ht="14.25" customHeight="1" x14ac:dyDescent="0.45">
      <c r="A339" s="27"/>
      <c r="B339" s="27"/>
      <c r="C339" s="27"/>
      <c r="D339" s="27"/>
      <c r="E339" s="27"/>
      <c r="F339" s="82"/>
      <c r="G339" s="82"/>
      <c r="H339" s="27"/>
      <c r="I339" s="27"/>
      <c r="J339" s="27"/>
      <c r="K339" s="27"/>
      <c r="L339" s="27"/>
      <c r="M339" s="27"/>
      <c r="N339" s="27"/>
      <c r="O339" s="27"/>
      <c r="P339" s="27"/>
      <c r="Q339" s="38"/>
      <c r="R339" s="38"/>
      <c r="S339" s="27"/>
      <c r="T339" s="27"/>
      <c r="U339" s="27"/>
      <c r="V339" s="38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</row>
    <row r="340" spans="1:40" ht="14.25" customHeight="1" x14ac:dyDescent="0.45">
      <c r="A340" s="27"/>
      <c r="B340" s="27"/>
      <c r="C340" s="27"/>
      <c r="D340" s="27"/>
      <c r="E340" s="27"/>
      <c r="F340" s="82"/>
      <c r="G340" s="82"/>
      <c r="H340" s="27"/>
      <c r="I340" s="27"/>
      <c r="J340" s="27"/>
      <c r="K340" s="27"/>
      <c r="L340" s="27"/>
      <c r="M340" s="27"/>
      <c r="N340" s="27"/>
      <c r="O340" s="27"/>
      <c r="P340" s="27"/>
      <c r="Q340" s="38"/>
      <c r="R340" s="38"/>
      <c r="S340" s="27"/>
      <c r="T340" s="27"/>
      <c r="U340" s="27"/>
      <c r="V340" s="38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</row>
    <row r="341" spans="1:40" ht="14.25" customHeight="1" x14ac:dyDescent="0.45">
      <c r="A341" s="27"/>
      <c r="B341" s="27"/>
      <c r="C341" s="27"/>
      <c r="D341" s="27"/>
      <c r="E341" s="27"/>
      <c r="F341" s="82"/>
      <c r="G341" s="82"/>
      <c r="H341" s="27"/>
      <c r="I341" s="27"/>
      <c r="J341" s="27"/>
      <c r="K341" s="27"/>
      <c r="L341" s="27"/>
      <c r="M341" s="27"/>
      <c r="N341" s="27"/>
      <c r="O341" s="27"/>
      <c r="P341" s="27"/>
      <c r="Q341" s="38"/>
      <c r="R341" s="38"/>
      <c r="S341" s="27"/>
      <c r="T341" s="27"/>
      <c r="U341" s="27"/>
      <c r="V341" s="38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</row>
    <row r="342" spans="1:40" ht="14.25" customHeight="1" x14ac:dyDescent="0.45">
      <c r="A342" s="27"/>
      <c r="B342" s="27"/>
      <c r="C342" s="27"/>
      <c r="D342" s="27"/>
      <c r="E342" s="27"/>
      <c r="F342" s="82"/>
      <c r="G342" s="82"/>
      <c r="H342" s="27"/>
      <c r="I342" s="27"/>
      <c r="J342" s="27"/>
      <c r="K342" s="27"/>
      <c r="L342" s="27"/>
      <c r="M342" s="27"/>
      <c r="N342" s="27"/>
      <c r="O342" s="27"/>
      <c r="P342" s="27"/>
      <c r="Q342" s="38"/>
      <c r="R342" s="38"/>
      <c r="S342" s="27"/>
      <c r="T342" s="27"/>
      <c r="U342" s="27"/>
      <c r="V342" s="38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</row>
    <row r="343" spans="1:40" ht="14.25" customHeight="1" x14ac:dyDescent="0.45">
      <c r="A343" s="27"/>
      <c r="B343" s="27"/>
      <c r="C343" s="27"/>
      <c r="D343" s="27"/>
      <c r="E343" s="27"/>
      <c r="F343" s="82"/>
      <c r="G343" s="82"/>
      <c r="H343" s="27"/>
      <c r="I343" s="27"/>
      <c r="J343" s="27"/>
      <c r="K343" s="27"/>
      <c r="L343" s="27"/>
      <c r="M343" s="27"/>
      <c r="N343" s="27"/>
      <c r="O343" s="27"/>
      <c r="P343" s="27"/>
      <c r="Q343" s="38"/>
      <c r="R343" s="38"/>
      <c r="S343" s="27"/>
      <c r="T343" s="27"/>
      <c r="U343" s="27"/>
      <c r="V343" s="38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</row>
    <row r="344" spans="1:40" ht="14.25" customHeight="1" x14ac:dyDescent="0.45">
      <c r="A344" s="27"/>
      <c r="B344" s="27"/>
      <c r="C344" s="27"/>
      <c r="D344" s="27"/>
      <c r="E344" s="27"/>
      <c r="F344" s="82"/>
      <c r="G344" s="82"/>
      <c r="H344" s="27"/>
      <c r="I344" s="27"/>
      <c r="J344" s="27"/>
      <c r="K344" s="27"/>
      <c r="L344" s="27"/>
      <c r="M344" s="27"/>
      <c r="N344" s="27"/>
      <c r="O344" s="27"/>
      <c r="P344" s="27"/>
      <c r="Q344" s="38"/>
      <c r="R344" s="38"/>
      <c r="S344" s="27"/>
      <c r="T344" s="27"/>
      <c r="U344" s="27"/>
      <c r="V344" s="38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</row>
    <row r="345" spans="1:40" ht="14.25" customHeight="1" x14ac:dyDescent="0.45">
      <c r="A345" s="27"/>
      <c r="B345" s="27"/>
      <c r="C345" s="27"/>
      <c r="D345" s="27"/>
      <c r="E345" s="27"/>
      <c r="F345" s="82"/>
      <c r="G345" s="82"/>
      <c r="H345" s="27"/>
      <c r="I345" s="27"/>
      <c r="J345" s="27"/>
      <c r="K345" s="27"/>
      <c r="L345" s="27"/>
      <c r="M345" s="27"/>
      <c r="N345" s="27"/>
      <c r="O345" s="27"/>
      <c r="P345" s="27"/>
      <c r="Q345" s="38"/>
      <c r="R345" s="38"/>
      <c r="S345" s="27"/>
      <c r="T345" s="27"/>
      <c r="U345" s="27"/>
      <c r="V345" s="38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</row>
    <row r="346" spans="1:40" ht="14.25" customHeight="1" x14ac:dyDescent="0.45">
      <c r="A346" s="27"/>
      <c r="B346" s="27"/>
      <c r="C346" s="27"/>
      <c r="D346" s="27"/>
      <c r="E346" s="27"/>
      <c r="F346" s="82"/>
      <c r="G346" s="82"/>
      <c r="H346" s="27"/>
      <c r="I346" s="27"/>
      <c r="J346" s="27"/>
      <c r="K346" s="27"/>
      <c r="L346" s="27"/>
      <c r="M346" s="27"/>
      <c r="N346" s="27"/>
      <c r="O346" s="27"/>
      <c r="P346" s="27"/>
      <c r="Q346" s="38"/>
      <c r="R346" s="38"/>
      <c r="S346" s="27"/>
      <c r="T346" s="27"/>
      <c r="U346" s="27"/>
      <c r="V346" s="38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</row>
    <row r="347" spans="1:40" ht="14.25" customHeight="1" x14ac:dyDescent="0.45">
      <c r="A347" s="27"/>
      <c r="B347" s="27"/>
      <c r="C347" s="27"/>
      <c r="D347" s="27"/>
      <c r="E347" s="27"/>
      <c r="F347" s="82"/>
      <c r="G347" s="82"/>
      <c r="H347" s="27"/>
      <c r="I347" s="27"/>
      <c r="J347" s="27"/>
      <c r="K347" s="27"/>
      <c r="L347" s="27"/>
      <c r="M347" s="27"/>
      <c r="N347" s="27"/>
      <c r="O347" s="27"/>
      <c r="P347" s="27"/>
      <c r="Q347" s="38"/>
      <c r="R347" s="38"/>
      <c r="S347" s="27"/>
      <c r="T347" s="27"/>
      <c r="U347" s="27"/>
      <c r="V347" s="38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</row>
    <row r="348" spans="1:40" ht="14.25" customHeight="1" x14ac:dyDescent="0.45">
      <c r="A348" s="27"/>
      <c r="B348" s="27"/>
      <c r="C348" s="27"/>
      <c r="D348" s="27"/>
      <c r="E348" s="27"/>
      <c r="F348" s="82"/>
      <c r="G348" s="82"/>
      <c r="H348" s="27"/>
      <c r="I348" s="27"/>
      <c r="J348" s="27"/>
      <c r="K348" s="27"/>
      <c r="L348" s="27"/>
      <c r="M348" s="27"/>
      <c r="N348" s="27"/>
      <c r="O348" s="27"/>
      <c r="P348" s="27"/>
      <c r="Q348" s="38"/>
      <c r="R348" s="38"/>
      <c r="S348" s="27"/>
      <c r="T348" s="27"/>
      <c r="U348" s="27"/>
      <c r="V348" s="38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</row>
    <row r="349" spans="1:40" ht="14.25" customHeight="1" x14ac:dyDescent="0.45">
      <c r="A349" s="27"/>
      <c r="B349" s="27"/>
      <c r="C349" s="27"/>
      <c r="D349" s="27"/>
      <c r="E349" s="27"/>
      <c r="F349" s="82"/>
      <c r="G349" s="82"/>
      <c r="H349" s="27"/>
      <c r="I349" s="27"/>
      <c r="J349" s="27"/>
      <c r="K349" s="27"/>
      <c r="L349" s="27"/>
      <c r="M349" s="27"/>
      <c r="N349" s="27"/>
      <c r="O349" s="27"/>
      <c r="P349" s="27"/>
      <c r="Q349" s="38"/>
      <c r="R349" s="38"/>
      <c r="S349" s="27"/>
      <c r="T349" s="27"/>
      <c r="U349" s="27"/>
      <c r="V349" s="38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</row>
    <row r="350" spans="1:40" ht="14.25" customHeight="1" x14ac:dyDescent="0.45">
      <c r="A350" s="27"/>
      <c r="B350" s="27"/>
      <c r="C350" s="27"/>
      <c r="D350" s="27"/>
      <c r="E350" s="27"/>
      <c r="F350" s="82"/>
      <c r="G350" s="82"/>
      <c r="H350" s="27"/>
      <c r="I350" s="27"/>
      <c r="J350" s="27"/>
      <c r="K350" s="27"/>
      <c r="L350" s="27"/>
      <c r="M350" s="27"/>
      <c r="N350" s="27"/>
      <c r="O350" s="27"/>
      <c r="P350" s="27"/>
      <c r="Q350" s="38"/>
      <c r="R350" s="38"/>
      <c r="S350" s="27"/>
      <c r="T350" s="27"/>
      <c r="U350" s="27"/>
      <c r="V350" s="38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</row>
    <row r="351" spans="1:40" ht="14.25" customHeight="1" x14ac:dyDescent="0.45">
      <c r="A351" s="27"/>
      <c r="B351" s="27"/>
      <c r="C351" s="27"/>
      <c r="D351" s="27"/>
      <c r="E351" s="27"/>
      <c r="F351" s="82"/>
      <c r="G351" s="82"/>
      <c r="H351" s="27"/>
      <c r="I351" s="27"/>
      <c r="J351" s="27"/>
      <c r="K351" s="27"/>
      <c r="L351" s="27"/>
      <c r="M351" s="27"/>
      <c r="N351" s="27"/>
      <c r="O351" s="27"/>
      <c r="P351" s="27"/>
      <c r="Q351" s="38"/>
      <c r="R351" s="38"/>
      <c r="S351" s="27"/>
      <c r="T351" s="27"/>
      <c r="U351" s="27"/>
      <c r="V351" s="38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</row>
    <row r="352" spans="1:40" ht="14.25" customHeight="1" x14ac:dyDescent="0.45">
      <c r="A352" s="27"/>
      <c r="B352" s="27"/>
      <c r="C352" s="27"/>
      <c r="D352" s="27"/>
      <c r="E352" s="27"/>
      <c r="F352" s="82"/>
      <c r="G352" s="82"/>
      <c r="H352" s="27"/>
      <c r="I352" s="27"/>
      <c r="J352" s="27"/>
      <c r="K352" s="27"/>
      <c r="L352" s="27"/>
      <c r="M352" s="27"/>
      <c r="N352" s="27"/>
      <c r="O352" s="27"/>
      <c r="P352" s="27"/>
      <c r="Q352" s="38"/>
      <c r="R352" s="38"/>
      <c r="S352" s="27"/>
      <c r="T352" s="27"/>
      <c r="U352" s="27"/>
      <c r="V352" s="38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</row>
    <row r="353" spans="1:40" ht="14.25" customHeight="1" x14ac:dyDescent="0.45">
      <c r="A353" s="27"/>
      <c r="B353" s="27"/>
      <c r="C353" s="27"/>
      <c r="D353" s="27"/>
      <c r="E353" s="27"/>
      <c r="F353" s="82"/>
      <c r="G353" s="82"/>
      <c r="H353" s="27"/>
      <c r="I353" s="27"/>
      <c r="J353" s="27"/>
      <c r="K353" s="27"/>
      <c r="L353" s="27"/>
      <c r="M353" s="27"/>
      <c r="N353" s="27"/>
      <c r="O353" s="27"/>
      <c r="P353" s="27"/>
      <c r="Q353" s="38"/>
      <c r="R353" s="38"/>
      <c r="S353" s="27"/>
      <c r="T353" s="27"/>
      <c r="U353" s="27"/>
      <c r="V353" s="38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</row>
    <row r="354" spans="1:40" ht="14.25" customHeight="1" x14ac:dyDescent="0.45">
      <c r="A354" s="27"/>
      <c r="B354" s="27"/>
      <c r="C354" s="27"/>
      <c r="D354" s="27"/>
      <c r="E354" s="27"/>
      <c r="F354" s="82"/>
      <c r="G354" s="82"/>
      <c r="H354" s="27"/>
      <c r="I354" s="27"/>
      <c r="J354" s="27"/>
      <c r="K354" s="27"/>
      <c r="L354" s="27"/>
      <c r="M354" s="27"/>
      <c r="N354" s="27"/>
      <c r="O354" s="27"/>
      <c r="P354" s="27"/>
      <c r="Q354" s="38"/>
      <c r="R354" s="38"/>
      <c r="S354" s="27"/>
      <c r="T354" s="27"/>
      <c r="U354" s="27"/>
      <c r="V354" s="38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</row>
    <row r="355" spans="1:40" ht="14.25" customHeight="1" x14ac:dyDescent="0.45">
      <c r="A355" s="27"/>
      <c r="B355" s="27"/>
      <c r="C355" s="27"/>
      <c r="D355" s="27"/>
      <c r="E355" s="27"/>
      <c r="F355" s="82"/>
      <c r="G355" s="82"/>
      <c r="H355" s="27"/>
      <c r="I355" s="27"/>
      <c r="J355" s="27"/>
      <c r="K355" s="27"/>
      <c r="L355" s="27"/>
      <c r="M355" s="27"/>
      <c r="N355" s="27"/>
      <c r="O355" s="27"/>
      <c r="P355" s="27"/>
      <c r="Q355" s="38"/>
      <c r="R355" s="38"/>
      <c r="S355" s="27"/>
      <c r="T355" s="27"/>
      <c r="U355" s="27"/>
      <c r="V355" s="38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</row>
    <row r="356" spans="1:40" ht="14.25" customHeight="1" x14ac:dyDescent="0.45">
      <c r="A356" s="27"/>
      <c r="B356" s="27"/>
      <c r="C356" s="27"/>
      <c r="D356" s="27"/>
      <c r="E356" s="27"/>
      <c r="F356" s="82"/>
      <c r="G356" s="82"/>
      <c r="H356" s="27"/>
      <c r="I356" s="27"/>
      <c r="J356" s="27"/>
      <c r="K356" s="27"/>
      <c r="L356" s="27"/>
      <c r="M356" s="27"/>
      <c r="N356" s="27"/>
      <c r="O356" s="27"/>
      <c r="P356" s="27"/>
      <c r="Q356" s="38"/>
      <c r="R356" s="38"/>
      <c r="S356" s="27"/>
      <c r="T356" s="27"/>
      <c r="U356" s="27"/>
      <c r="V356" s="38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</row>
    <row r="357" spans="1:40" ht="14.25" customHeight="1" x14ac:dyDescent="0.45">
      <c r="A357" s="27"/>
      <c r="B357" s="27"/>
      <c r="C357" s="27"/>
      <c r="D357" s="27"/>
      <c r="E357" s="27"/>
      <c r="F357" s="82"/>
      <c r="G357" s="82"/>
      <c r="H357" s="27"/>
      <c r="I357" s="27"/>
      <c r="J357" s="27"/>
      <c r="K357" s="27"/>
      <c r="L357" s="27"/>
      <c r="M357" s="27"/>
      <c r="N357" s="27"/>
      <c r="O357" s="27"/>
      <c r="P357" s="27"/>
      <c r="Q357" s="38"/>
      <c r="R357" s="38"/>
      <c r="S357" s="27"/>
      <c r="T357" s="27"/>
      <c r="U357" s="27"/>
      <c r="V357" s="38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</row>
    <row r="358" spans="1:40" ht="14.25" customHeight="1" x14ac:dyDescent="0.45">
      <c r="A358" s="27"/>
      <c r="B358" s="27"/>
      <c r="C358" s="27"/>
      <c r="D358" s="27"/>
      <c r="E358" s="27"/>
      <c r="F358" s="82"/>
      <c r="G358" s="82"/>
      <c r="H358" s="27"/>
      <c r="I358" s="27"/>
      <c r="J358" s="27"/>
      <c r="K358" s="27"/>
      <c r="L358" s="27"/>
      <c r="M358" s="27"/>
      <c r="N358" s="27"/>
      <c r="O358" s="27"/>
      <c r="P358" s="27"/>
      <c r="Q358" s="38"/>
      <c r="R358" s="38"/>
      <c r="S358" s="27"/>
      <c r="T358" s="27"/>
      <c r="U358" s="27"/>
      <c r="V358" s="38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</row>
    <row r="359" spans="1:40" ht="14.25" customHeight="1" x14ac:dyDescent="0.45">
      <c r="A359" s="27"/>
      <c r="B359" s="27"/>
      <c r="C359" s="27"/>
      <c r="D359" s="27"/>
      <c r="E359" s="27"/>
      <c r="F359" s="82"/>
      <c r="G359" s="82"/>
      <c r="H359" s="27"/>
      <c r="I359" s="27"/>
      <c r="J359" s="27"/>
      <c r="K359" s="27"/>
      <c r="L359" s="27"/>
      <c r="M359" s="27"/>
      <c r="N359" s="27"/>
      <c r="O359" s="27"/>
      <c r="P359" s="27"/>
      <c r="Q359" s="38"/>
      <c r="R359" s="38"/>
      <c r="S359" s="27"/>
      <c r="T359" s="27"/>
      <c r="U359" s="27"/>
      <c r="V359" s="38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</row>
    <row r="360" spans="1:40" ht="14.25" customHeight="1" x14ac:dyDescent="0.45">
      <c r="A360" s="27"/>
      <c r="B360" s="27"/>
      <c r="C360" s="27"/>
      <c r="D360" s="27"/>
      <c r="E360" s="27"/>
      <c r="F360" s="82"/>
      <c r="G360" s="82"/>
      <c r="H360" s="27"/>
      <c r="I360" s="27"/>
      <c r="J360" s="27"/>
      <c r="K360" s="27"/>
      <c r="L360" s="27"/>
      <c r="M360" s="27"/>
      <c r="N360" s="27"/>
      <c r="O360" s="27"/>
      <c r="P360" s="27"/>
      <c r="Q360" s="38"/>
      <c r="R360" s="38"/>
      <c r="S360" s="27"/>
      <c r="T360" s="27"/>
      <c r="U360" s="27"/>
      <c r="V360" s="38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</row>
    <row r="361" spans="1:40" ht="14.25" customHeight="1" x14ac:dyDescent="0.45">
      <c r="A361" s="27"/>
      <c r="B361" s="27"/>
      <c r="C361" s="27"/>
      <c r="D361" s="27"/>
      <c r="E361" s="27"/>
      <c r="F361" s="82"/>
      <c r="G361" s="82"/>
      <c r="H361" s="27"/>
      <c r="I361" s="27"/>
      <c r="J361" s="27"/>
      <c r="K361" s="27"/>
      <c r="L361" s="27"/>
      <c r="M361" s="27"/>
      <c r="N361" s="27"/>
      <c r="O361" s="27"/>
      <c r="P361" s="27"/>
      <c r="Q361" s="38"/>
      <c r="R361" s="38"/>
      <c r="S361" s="27"/>
      <c r="T361" s="27"/>
      <c r="U361" s="27"/>
      <c r="V361" s="38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</row>
    <row r="362" spans="1:40" ht="14.25" customHeight="1" x14ac:dyDescent="0.45">
      <c r="A362" s="27"/>
      <c r="B362" s="27"/>
      <c r="C362" s="27"/>
      <c r="D362" s="27"/>
      <c r="E362" s="27"/>
      <c r="F362" s="82"/>
      <c r="G362" s="82"/>
      <c r="H362" s="27"/>
      <c r="I362" s="27"/>
      <c r="J362" s="27"/>
      <c r="K362" s="27"/>
      <c r="L362" s="27"/>
      <c r="M362" s="27"/>
      <c r="N362" s="27"/>
      <c r="O362" s="27"/>
      <c r="P362" s="27"/>
      <c r="Q362" s="38"/>
      <c r="R362" s="38"/>
      <c r="S362" s="27"/>
      <c r="T362" s="27"/>
      <c r="U362" s="27"/>
      <c r="V362" s="38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</row>
    <row r="363" spans="1:40" ht="14.25" customHeight="1" x14ac:dyDescent="0.45">
      <c r="A363" s="27"/>
      <c r="B363" s="27"/>
      <c r="C363" s="27"/>
      <c r="D363" s="27"/>
      <c r="E363" s="27"/>
      <c r="F363" s="82"/>
      <c r="G363" s="82"/>
      <c r="H363" s="27"/>
      <c r="I363" s="27"/>
      <c r="J363" s="27"/>
      <c r="K363" s="27"/>
      <c r="L363" s="27"/>
      <c r="M363" s="27"/>
      <c r="N363" s="27"/>
      <c r="O363" s="27"/>
      <c r="P363" s="27"/>
      <c r="Q363" s="38"/>
      <c r="R363" s="38"/>
      <c r="S363" s="27"/>
      <c r="T363" s="27"/>
      <c r="U363" s="27"/>
      <c r="V363" s="38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</row>
    <row r="364" spans="1:40" ht="14.25" customHeight="1" x14ac:dyDescent="0.45">
      <c r="A364" s="27"/>
      <c r="B364" s="27"/>
      <c r="C364" s="27"/>
      <c r="D364" s="27"/>
      <c r="E364" s="27"/>
      <c r="F364" s="82"/>
      <c r="G364" s="82"/>
      <c r="H364" s="27"/>
      <c r="I364" s="27"/>
      <c r="J364" s="27"/>
      <c r="K364" s="27"/>
      <c r="L364" s="27"/>
      <c r="M364" s="27"/>
      <c r="N364" s="27"/>
      <c r="O364" s="27"/>
      <c r="P364" s="27"/>
      <c r="Q364" s="38"/>
      <c r="R364" s="38"/>
      <c r="S364" s="27"/>
      <c r="T364" s="27"/>
      <c r="U364" s="27"/>
      <c r="V364" s="38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</row>
    <row r="365" spans="1:40" ht="14.25" customHeight="1" x14ac:dyDescent="0.45">
      <c r="A365" s="27"/>
      <c r="B365" s="27"/>
      <c r="C365" s="27"/>
      <c r="D365" s="27"/>
      <c r="E365" s="27"/>
      <c r="F365" s="82"/>
      <c r="G365" s="82"/>
      <c r="H365" s="27"/>
      <c r="I365" s="27"/>
      <c r="J365" s="27"/>
      <c r="K365" s="27"/>
      <c r="L365" s="27"/>
      <c r="M365" s="27"/>
      <c r="N365" s="27"/>
      <c r="O365" s="27"/>
      <c r="P365" s="27"/>
      <c r="Q365" s="38"/>
      <c r="R365" s="38"/>
      <c r="S365" s="27"/>
      <c r="T365" s="27"/>
      <c r="U365" s="27"/>
      <c r="V365" s="38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</row>
    <row r="366" spans="1:40" ht="14.25" customHeight="1" x14ac:dyDescent="0.45">
      <c r="A366" s="27"/>
      <c r="B366" s="27"/>
      <c r="C366" s="27"/>
      <c r="D366" s="27"/>
      <c r="E366" s="27"/>
      <c r="F366" s="82"/>
      <c r="G366" s="82"/>
      <c r="H366" s="27"/>
      <c r="I366" s="27"/>
      <c r="J366" s="27"/>
      <c r="K366" s="27"/>
      <c r="L366" s="27"/>
      <c r="M366" s="27"/>
      <c r="N366" s="27"/>
      <c r="O366" s="27"/>
      <c r="P366" s="27"/>
      <c r="Q366" s="38"/>
      <c r="R366" s="38"/>
      <c r="S366" s="27"/>
      <c r="T366" s="27"/>
      <c r="U366" s="27"/>
      <c r="V366" s="38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</row>
    <row r="367" spans="1:40" ht="14.25" customHeight="1" x14ac:dyDescent="0.45">
      <c r="A367" s="27"/>
      <c r="B367" s="27"/>
      <c r="C367" s="27"/>
      <c r="D367" s="27"/>
      <c r="E367" s="27"/>
      <c r="F367" s="82"/>
      <c r="G367" s="82"/>
      <c r="H367" s="27"/>
      <c r="I367" s="27"/>
      <c r="J367" s="27"/>
      <c r="K367" s="27"/>
      <c r="L367" s="27"/>
      <c r="M367" s="27"/>
      <c r="N367" s="27"/>
      <c r="O367" s="27"/>
      <c r="P367" s="27"/>
      <c r="Q367" s="38"/>
      <c r="R367" s="38"/>
      <c r="S367" s="27"/>
      <c r="T367" s="27"/>
      <c r="U367" s="27"/>
      <c r="V367" s="38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</row>
    <row r="368" spans="1:40" ht="14.25" customHeight="1" x14ac:dyDescent="0.45">
      <c r="A368" s="27"/>
      <c r="B368" s="27"/>
      <c r="C368" s="27"/>
      <c r="D368" s="27"/>
      <c r="E368" s="27"/>
      <c r="F368" s="82"/>
      <c r="G368" s="82"/>
      <c r="H368" s="27"/>
      <c r="I368" s="27"/>
      <c r="J368" s="27"/>
      <c r="K368" s="27"/>
      <c r="L368" s="27"/>
      <c r="M368" s="27"/>
      <c r="N368" s="27"/>
      <c r="O368" s="27"/>
      <c r="P368" s="27"/>
      <c r="Q368" s="38"/>
      <c r="R368" s="38"/>
      <c r="S368" s="27"/>
      <c r="T368" s="27"/>
      <c r="U368" s="27"/>
      <c r="V368" s="38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</row>
    <row r="369" spans="1:40" ht="14.25" customHeight="1" x14ac:dyDescent="0.45">
      <c r="A369" s="27"/>
      <c r="B369" s="27"/>
      <c r="C369" s="27"/>
      <c r="D369" s="27"/>
      <c r="E369" s="27"/>
      <c r="F369" s="82"/>
      <c r="G369" s="82"/>
      <c r="H369" s="27"/>
      <c r="I369" s="27"/>
      <c r="J369" s="27"/>
      <c r="K369" s="27"/>
      <c r="L369" s="27"/>
      <c r="M369" s="27"/>
      <c r="N369" s="27"/>
      <c r="O369" s="27"/>
      <c r="P369" s="27"/>
      <c r="Q369" s="38"/>
      <c r="R369" s="38"/>
      <c r="S369" s="27"/>
      <c r="T369" s="27"/>
      <c r="U369" s="27"/>
      <c r="V369" s="38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</row>
    <row r="370" spans="1:40" ht="14.25" customHeight="1" x14ac:dyDescent="0.45">
      <c r="A370" s="27"/>
      <c r="B370" s="27"/>
      <c r="C370" s="27"/>
      <c r="D370" s="27"/>
      <c r="E370" s="27"/>
      <c r="F370" s="82"/>
      <c r="G370" s="82"/>
      <c r="H370" s="27"/>
      <c r="I370" s="27"/>
      <c r="J370" s="27"/>
      <c r="K370" s="27"/>
      <c r="L370" s="27"/>
      <c r="M370" s="27"/>
      <c r="N370" s="27"/>
      <c r="O370" s="27"/>
      <c r="P370" s="27"/>
      <c r="Q370" s="38"/>
      <c r="R370" s="38"/>
      <c r="S370" s="27"/>
      <c r="T370" s="27"/>
      <c r="U370" s="27"/>
      <c r="V370" s="38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</row>
    <row r="371" spans="1:40" ht="14.25" customHeight="1" x14ac:dyDescent="0.45">
      <c r="A371" s="27"/>
      <c r="B371" s="27"/>
      <c r="C371" s="27"/>
      <c r="D371" s="27"/>
      <c r="E371" s="27"/>
      <c r="F371" s="82"/>
      <c r="G371" s="82"/>
      <c r="H371" s="27"/>
      <c r="I371" s="27"/>
      <c r="J371" s="27"/>
      <c r="K371" s="27"/>
      <c r="L371" s="27"/>
      <c r="M371" s="27"/>
      <c r="N371" s="27"/>
      <c r="O371" s="27"/>
      <c r="P371" s="27"/>
      <c r="Q371" s="38"/>
      <c r="R371" s="38"/>
      <c r="S371" s="27"/>
      <c r="T371" s="27"/>
      <c r="U371" s="27"/>
      <c r="V371" s="38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</row>
    <row r="372" spans="1:40" ht="14.25" customHeight="1" x14ac:dyDescent="0.45">
      <c r="A372" s="27"/>
      <c r="B372" s="27"/>
      <c r="C372" s="27"/>
      <c r="D372" s="27"/>
      <c r="E372" s="27"/>
      <c r="F372" s="82"/>
      <c r="G372" s="82"/>
      <c r="H372" s="27"/>
      <c r="I372" s="27"/>
      <c r="J372" s="27"/>
      <c r="K372" s="27"/>
      <c r="L372" s="27"/>
      <c r="M372" s="27"/>
      <c r="N372" s="27"/>
      <c r="O372" s="27"/>
      <c r="P372" s="27"/>
      <c r="Q372" s="38"/>
      <c r="R372" s="38"/>
      <c r="S372" s="27"/>
      <c r="T372" s="27"/>
      <c r="U372" s="27"/>
      <c r="V372" s="38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</row>
    <row r="373" spans="1:40" ht="14.25" customHeight="1" x14ac:dyDescent="0.45">
      <c r="A373" s="27"/>
      <c r="B373" s="27"/>
      <c r="C373" s="27"/>
      <c r="D373" s="27"/>
      <c r="E373" s="27"/>
      <c r="F373" s="82"/>
      <c r="G373" s="82"/>
      <c r="H373" s="27"/>
      <c r="I373" s="27"/>
      <c r="J373" s="27"/>
      <c r="K373" s="27"/>
      <c r="L373" s="27"/>
      <c r="M373" s="27"/>
      <c r="N373" s="27"/>
      <c r="O373" s="27"/>
      <c r="P373" s="27"/>
      <c r="Q373" s="38"/>
      <c r="R373" s="38"/>
      <c r="S373" s="27"/>
      <c r="T373" s="27"/>
      <c r="U373" s="27"/>
      <c r="V373" s="38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</row>
    <row r="374" spans="1:40" ht="14.25" customHeight="1" x14ac:dyDescent="0.45">
      <c r="A374" s="27"/>
      <c r="B374" s="27"/>
      <c r="C374" s="27"/>
      <c r="D374" s="27"/>
      <c r="E374" s="27"/>
      <c r="F374" s="82"/>
      <c r="G374" s="82"/>
      <c r="H374" s="27"/>
      <c r="I374" s="27"/>
      <c r="J374" s="27"/>
      <c r="K374" s="27"/>
      <c r="L374" s="27"/>
      <c r="M374" s="27"/>
      <c r="N374" s="27"/>
      <c r="O374" s="27"/>
      <c r="P374" s="27"/>
      <c r="Q374" s="38"/>
      <c r="R374" s="38"/>
      <c r="S374" s="27"/>
      <c r="T374" s="27"/>
      <c r="U374" s="27"/>
      <c r="V374" s="38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</row>
    <row r="375" spans="1:40" ht="14.25" customHeight="1" x14ac:dyDescent="0.45">
      <c r="A375" s="27"/>
      <c r="B375" s="27"/>
      <c r="C375" s="27"/>
      <c r="D375" s="27"/>
      <c r="E375" s="27"/>
      <c r="F375" s="82"/>
      <c r="G375" s="82"/>
      <c r="H375" s="27"/>
      <c r="I375" s="27"/>
      <c r="J375" s="27"/>
      <c r="K375" s="27"/>
      <c r="L375" s="27"/>
      <c r="M375" s="27"/>
      <c r="N375" s="27"/>
      <c r="O375" s="27"/>
      <c r="P375" s="27"/>
      <c r="Q375" s="38"/>
      <c r="R375" s="38"/>
      <c r="S375" s="27"/>
      <c r="T375" s="27"/>
      <c r="U375" s="27"/>
      <c r="V375" s="38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</row>
    <row r="376" spans="1:40" ht="14.25" customHeight="1" x14ac:dyDescent="0.45">
      <c r="A376" s="27"/>
      <c r="B376" s="27"/>
      <c r="C376" s="27"/>
      <c r="D376" s="27"/>
      <c r="E376" s="27"/>
      <c r="F376" s="82"/>
      <c r="G376" s="82"/>
      <c r="H376" s="27"/>
      <c r="I376" s="27"/>
      <c r="J376" s="27"/>
      <c r="K376" s="27"/>
      <c r="L376" s="27"/>
      <c r="M376" s="27"/>
      <c r="N376" s="27"/>
      <c r="O376" s="27"/>
      <c r="P376" s="27"/>
      <c r="Q376" s="38"/>
      <c r="R376" s="38"/>
      <c r="S376" s="27"/>
      <c r="T376" s="27"/>
      <c r="U376" s="27"/>
      <c r="V376" s="38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</row>
    <row r="377" spans="1:40" ht="14.25" customHeight="1" x14ac:dyDescent="0.45">
      <c r="A377" s="27"/>
      <c r="B377" s="27"/>
      <c r="C377" s="27"/>
      <c r="D377" s="27"/>
      <c r="E377" s="27"/>
      <c r="F377" s="82"/>
      <c r="G377" s="82"/>
      <c r="H377" s="27"/>
      <c r="I377" s="27"/>
      <c r="J377" s="27"/>
      <c r="K377" s="27"/>
      <c r="L377" s="27"/>
      <c r="M377" s="27"/>
      <c r="N377" s="27"/>
      <c r="O377" s="27"/>
      <c r="P377" s="27"/>
      <c r="Q377" s="38"/>
      <c r="R377" s="38"/>
      <c r="S377" s="27"/>
      <c r="T377" s="27"/>
      <c r="U377" s="27"/>
      <c r="V377" s="38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</row>
    <row r="378" spans="1:40" ht="14.25" customHeight="1" x14ac:dyDescent="0.45">
      <c r="A378" s="27"/>
      <c r="B378" s="27"/>
      <c r="C378" s="27"/>
      <c r="D378" s="27"/>
      <c r="E378" s="27"/>
      <c r="F378" s="82"/>
      <c r="G378" s="82"/>
      <c r="H378" s="27"/>
      <c r="I378" s="27"/>
      <c r="J378" s="27"/>
      <c r="K378" s="27"/>
      <c r="L378" s="27"/>
      <c r="M378" s="27"/>
      <c r="N378" s="27"/>
      <c r="O378" s="27"/>
      <c r="P378" s="27"/>
      <c r="Q378" s="38"/>
      <c r="R378" s="38"/>
      <c r="S378" s="27"/>
      <c r="T378" s="27"/>
      <c r="U378" s="27"/>
      <c r="V378" s="38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</row>
    <row r="379" spans="1:40" ht="14.25" customHeight="1" x14ac:dyDescent="0.45">
      <c r="A379" s="27"/>
      <c r="B379" s="27"/>
      <c r="C379" s="27"/>
      <c r="D379" s="27"/>
      <c r="E379" s="27"/>
      <c r="F379" s="82"/>
      <c r="G379" s="82"/>
      <c r="H379" s="27"/>
      <c r="I379" s="27"/>
      <c r="J379" s="27"/>
      <c r="K379" s="27"/>
      <c r="L379" s="27"/>
      <c r="M379" s="27"/>
      <c r="N379" s="27"/>
      <c r="O379" s="27"/>
      <c r="P379" s="27"/>
      <c r="Q379" s="38"/>
      <c r="R379" s="38"/>
      <c r="S379" s="27"/>
      <c r="T379" s="27"/>
      <c r="U379" s="27"/>
      <c r="V379" s="38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</row>
    <row r="380" spans="1:40" ht="14.25" customHeight="1" x14ac:dyDescent="0.45">
      <c r="A380" s="27"/>
      <c r="B380" s="27"/>
      <c r="C380" s="27"/>
      <c r="D380" s="27"/>
      <c r="E380" s="27"/>
      <c r="F380" s="82"/>
      <c r="G380" s="82"/>
      <c r="H380" s="27"/>
      <c r="I380" s="27"/>
      <c r="J380" s="27"/>
      <c r="K380" s="27"/>
      <c r="L380" s="27"/>
      <c r="M380" s="27"/>
      <c r="N380" s="27"/>
      <c r="O380" s="27"/>
      <c r="P380" s="27"/>
      <c r="Q380" s="38"/>
      <c r="R380" s="38"/>
      <c r="S380" s="27"/>
      <c r="T380" s="27"/>
      <c r="U380" s="27"/>
      <c r="V380" s="38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</row>
    <row r="381" spans="1:40" ht="14.25" customHeight="1" x14ac:dyDescent="0.45">
      <c r="A381" s="27"/>
      <c r="B381" s="27"/>
      <c r="C381" s="27"/>
      <c r="D381" s="27"/>
      <c r="E381" s="27"/>
      <c r="F381" s="82"/>
      <c r="G381" s="82"/>
      <c r="H381" s="27"/>
      <c r="I381" s="27"/>
      <c r="J381" s="27"/>
      <c r="K381" s="27"/>
      <c r="L381" s="27"/>
      <c r="M381" s="27"/>
      <c r="N381" s="27"/>
      <c r="O381" s="27"/>
      <c r="P381" s="27"/>
      <c r="Q381" s="38"/>
      <c r="R381" s="38"/>
      <c r="S381" s="27"/>
      <c r="T381" s="27"/>
      <c r="U381" s="27"/>
      <c r="V381" s="38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</row>
    <row r="382" spans="1:40" ht="14.25" customHeight="1" x14ac:dyDescent="0.45">
      <c r="A382" s="27"/>
      <c r="B382" s="27"/>
      <c r="C382" s="27"/>
      <c r="D382" s="27"/>
      <c r="E382" s="27"/>
      <c r="F382" s="82"/>
      <c r="G382" s="82"/>
      <c r="H382" s="27"/>
      <c r="I382" s="27"/>
      <c r="J382" s="27"/>
      <c r="K382" s="27"/>
      <c r="L382" s="27"/>
      <c r="M382" s="27"/>
      <c r="N382" s="27"/>
      <c r="O382" s="27"/>
      <c r="P382" s="27"/>
      <c r="Q382" s="38"/>
      <c r="R382" s="38"/>
      <c r="S382" s="27"/>
      <c r="T382" s="27"/>
      <c r="U382" s="27"/>
      <c r="V382" s="38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</row>
    <row r="383" spans="1:40" ht="14.25" customHeight="1" x14ac:dyDescent="0.45">
      <c r="A383" s="27"/>
      <c r="B383" s="27"/>
      <c r="C383" s="27"/>
      <c r="D383" s="27"/>
      <c r="E383" s="27"/>
      <c r="F383" s="82"/>
      <c r="G383" s="82"/>
      <c r="H383" s="27"/>
      <c r="I383" s="27"/>
      <c r="J383" s="27"/>
      <c r="K383" s="27"/>
      <c r="L383" s="27"/>
      <c r="M383" s="27"/>
      <c r="N383" s="27"/>
      <c r="O383" s="27"/>
      <c r="P383" s="27"/>
      <c r="Q383" s="38"/>
      <c r="R383" s="38"/>
      <c r="S383" s="27"/>
      <c r="T383" s="27"/>
      <c r="U383" s="27"/>
      <c r="V383" s="38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</row>
    <row r="384" spans="1:40" ht="14.25" customHeight="1" x14ac:dyDescent="0.45">
      <c r="A384" s="27"/>
      <c r="B384" s="27"/>
      <c r="C384" s="27"/>
      <c r="D384" s="27"/>
      <c r="E384" s="27"/>
      <c r="F384" s="82"/>
      <c r="G384" s="82"/>
      <c r="H384" s="27"/>
      <c r="I384" s="27"/>
      <c r="J384" s="27"/>
      <c r="K384" s="27"/>
      <c r="L384" s="27"/>
      <c r="M384" s="27"/>
      <c r="N384" s="27"/>
      <c r="O384" s="27"/>
      <c r="P384" s="27"/>
      <c r="Q384" s="38"/>
      <c r="R384" s="38"/>
      <c r="S384" s="27"/>
      <c r="T384" s="27"/>
      <c r="U384" s="27"/>
      <c r="V384" s="38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</row>
    <row r="385" spans="1:40" ht="14.25" customHeight="1" x14ac:dyDescent="0.45">
      <c r="A385" s="27"/>
      <c r="B385" s="27"/>
      <c r="C385" s="27"/>
      <c r="D385" s="27"/>
      <c r="E385" s="27"/>
      <c r="F385" s="82"/>
      <c r="G385" s="82"/>
      <c r="H385" s="27"/>
      <c r="I385" s="27"/>
      <c r="J385" s="27"/>
      <c r="K385" s="27"/>
      <c r="L385" s="27"/>
      <c r="M385" s="27"/>
      <c r="N385" s="27"/>
      <c r="O385" s="27"/>
      <c r="P385" s="27"/>
      <c r="Q385" s="38"/>
      <c r="R385" s="38"/>
      <c r="S385" s="27"/>
      <c r="T385" s="27"/>
      <c r="U385" s="27"/>
      <c r="V385" s="38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</row>
    <row r="386" spans="1:40" ht="14.25" customHeight="1" x14ac:dyDescent="0.45">
      <c r="A386" s="27"/>
      <c r="B386" s="27"/>
      <c r="C386" s="27"/>
      <c r="D386" s="27"/>
      <c r="E386" s="27"/>
      <c r="F386" s="82"/>
      <c r="G386" s="82"/>
      <c r="H386" s="27"/>
      <c r="I386" s="27"/>
      <c r="J386" s="27"/>
      <c r="K386" s="27"/>
      <c r="L386" s="27"/>
      <c r="M386" s="27"/>
      <c r="N386" s="27"/>
      <c r="O386" s="27"/>
      <c r="P386" s="27"/>
      <c r="Q386" s="38"/>
      <c r="R386" s="38"/>
      <c r="S386" s="27"/>
      <c r="T386" s="27"/>
      <c r="U386" s="27"/>
      <c r="V386" s="38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</row>
    <row r="387" spans="1:40" ht="14.25" customHeight="1" x14ac:dyDescent="0.45">
      <c r="A387" s="27"/>
      <c r="B387" s="27"/>
      <c r="C387" s="27"/>
      <c r="D387" s="27"/>
      <c r="E387" s="27"/>
      <c r="F387" s="82"/>
      <c r="G387" s="82"/>
      <c r="H387" s="27"/>
      <c r="I387" s="27"/>
      <c r="J387" s="27"/>
      <c r="K387" s="27"/>
      <c r="L387" s="27"/>
      <c r="M387" s="27"/>
      <c r="N387" s="27"/>
      <c r="O387" s="27"/>
      <c r="P387" s="27"/>
      <c r="Q387" s="38"/>
      <c r="R387" s="38"/>
      <c r="S387" s="27"/>
      <c r="T387" s="27"/>
      <c r="U387" s="27"/>
      <c r="V387" s="38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</row>
    <row r="388" spans="1:40" ht="14.25" customHeight="1" x14ac:dyDescent="0.45">
      <c r="A388" s="27"/>
      <c r="B388" s="27"/>
      <c r="C388" s="27"/>
      <c r="D388" s="27"/>
      <c r="E388" s="27"/>
      <c r="F388" s="82"/>
      <c r="G388" s="82"/>
      <c r="H388" s="27"/>
      <c r="I388" s="27"/>
      <c r="J388" s="27"/>
      <c r="K388" s="27"/>
      <c r="L388" s="27"/>
      <c r="M388" s="27"/>
      <c r="N388" s="27"/>
      <c r="O388" s="27"/>
      <c r="P388" s="27"/>
      <c r="Q388" s="38"/>
      <c r="R388" s="38"/>
      <c r="S388" s="27"/>
      <c r="T388" s="27"/>
      <c r="U388" s="27"/>
      <c r="V388" s="38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</row>
    <row r="389" spans="1:40" ht="14.25" customHeight="1" x14ac:dyDescent="0.45">
      <c r="A389" s="27"/>
      <c r="B389" s="27"/>
      <c r="C389" s="27"/>
      <c r="D389" s="27"/>
      <c r="E389" s="27"/>
      <c r="F389" s="82"/>
      <c r="G389" s="82"/>
      <c r="H389" s="27"/>
      <c r="I389" s="27"/>
      <c r="J389" s="27"/>
      <c r="K389" s="27"/>
      <c r="L389" s="27"/>
      <c r="M389" s="27"/>
      <c r="N389" s="27"/>
      <c r="O389" s="27"/>
      <c r="P389" s="27"/>
      <c r="Q389" s="38"/>
      <c r="R389" s="38"/>
      <c r="S389" s="27"/>
      <c r="T389" s="27"/>
      <c r="U389" s="27"/>
      <c r="V389" s="38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</row>
    <row r="390" spans="1:40" ht="14.25" customHeight="1" x14ac:dyDescent="0.45">
      <c r="A390" s="27"/>
      <c r="B390" s="27"/>
      <c r="C390" s="27"/>
      <c r="D390" s="27"/>
      <c r="E390" s="27"/>
      <c r="F390" s="82"/>
      <c r="G390" s="82"/>
      <c r="H390" s="27"/>
      <c r="I390" s="27"/>
      <c r="J390" s="27"/>
      <c r="K390" s="27"/>
      <c r="L390" s="27"/>
      <c r="M390" s="27"/>
      <c r="N390" s="27"/>
      <c r="O390" s="27"/>
      <c r="P390" s="27"/>
      <c r="Q390" s="38"/>
      <c r="R390" s="38"/>
      <c r="S390" s="27"/>
      <c r="T390" s="27"/>
      <c r="U390" s="27"/>
      <c r="V390" s="38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</row>
    <row r="391" spans="1:40" ht="14.25" customHeight="1" x14ac:dyDescent="0.45">
      <c r="A391" s="27"/>
      <c r="B391" s="27"/>
      <c r="C391" s="27"/>
      <c r="D391" s="27"/>
      <c r="E391" s="27"/>
      <c r="F391" s="82"/>
      <c r="G391" s="82"/>
      <c r="H391" s="27"/>
      <c r="I391" s="27"/>
      <c r="J391" s="27"/>
      <c r="K391" s="27"/>
      <c r="L391" s="27"/>
      <c r="M391" s="27"/>
      <c r="N391" s="27"/>
      <c r="O391" s="27"/>
      <c r="P391" s="27"/>
      <c r="Q391" s="38"/>
      <c r="R391" s="38"/>
      <c r="S391" s="27"/>
      <c r="T391" s="27"/>
      <c r="U391" s="27"/>
      <c r="V391" s="38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</row>
    <row r="392" spans="1:40" ht="14.25" customHeight="1" x14ac:dyDescent="0.45">
      <c r="A392" s="27"/>
      <c r="B392" s="27"/>
      <c r="C392" s="27"/>
      <c r="D392" s="27"/>
      <c r="E392" s="27"/>
      <c r="F392" s="82"/>
      <c r="G392" s="82"/>
      <c r="H392" s="27"/>
      <c r="I392" s="27"/>
      <c r="J392" s="27"/>
      <c r="K392" s="27"/>
      <c r="L392" s="27"/>
      <c r="M392" s="27"/>
      <c r="N392" s="27"/>
      <c r="O392" s="27"/>
      <c r="P392" s="27"/>
      <c r="Q392" s="38"/>
      <c r="R392" s="38"/>
      <c r="S392" s="27"/>
      <c r="T392" s="27"/>
      <c r="U392" s="27"/>
      <c r="V392" s="38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</row>
    <row r="393" spans="1:40" ht="14.25" customHeight="1" x14ac:dyDescent="0.45">
      <c r="A393" s="27"/>
      <c r="B393" s="27"/>
      <c r="C393" s="27"/>
      <c r="D393" s="27"/>
      <c r="E393" s="27"/>
      <c r="F393" s="82"/>
      <c r="G393" s="82"/>
      <c r="H393" s="27"/>
      <c r="I393" s="27"/>
      <c r="J393" s="27"/>
      <c r="K393" s="27"/>
      <c r="L393" s="27"/>
      <c r="M393" s="27"/>
      <c r="N393" s="27"/>
      <c r="O393" s="27"/>
      <c r="P393" s="27"/>
      <c r="Q393" s="38"/>
      <c r="R393" s="38"/>
      <c r="S393" s="27"/>
      <c r="T393" s="27"/>
      <c r="U393" s="27"/>
      <c r="V393" s="38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</row>
    <row r="394" spans="1:40" ht="14.25" customHeight="1" x14ac:dyDescent="0.45">
      <c r="A394" s="27"/>
      <c r="B394" s="27"/>
      <c r="C394" s="27"/>
      <c r="D394" s="27"/>
      <c r="E394" s="27"/>
      <c r="F394" s="82"/>
      <c r="G394" s="82"/>
      <c r="H394" s="27"/>
      <c r="I394" s="27"/>
      <c r="J394" s="27"/>
      <c r="K394" s="27"/>
      <c r="L394" s="27"/>
      <c r="M394" s="27"/>
      <c r="N394" s="27"/>
      <c r="O394" s="27"/>
      <c r="P394" s="27"/>
      <c r="Q394" s="38"/>
      <c r="R394" s="38"/>
      <c r="S394" s="27"/>
      <c r="T394" s="27"/>
      <c r="U394" s="27"/>
      <c r="V394" s="38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</row>
    <row r="395" spans="1:40" ht="14.25" customHeight="1" x14ac:dyDescent="0.45">
      <c r="A395" s="27"/>
      <c r="B395" s="27"/>
      <c r="C395" s="27"/>
      <c r="D395" s="27"/>
      <c r="E395" s="27"/>
      <c r="F395" s="82"/>
      <c r="G395" s="82"/>
      <c r="H395" s="27"/>
      <c r="I395" s="27"/>
      <c r="J395" s="27"/>
      <c r="K395" s="27"/>
      <c r="L395" s="27"/>
      <c r="M395" s="27"/>
      <c r="N395" s="27"/>
      <c r="O395" s="27"/>
      <c r="P395" s="27"/>
      <c r="Q395" s="38"/>
      <c r="R395" s="38"/>
      <c r="S395" s="27"/>
      <c r="T395" s="27"/>
      <c r="U395" s="27"/>
      <c r="V395" s="38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</row>
    <row r="396" spans="1:40" ht="14.25" customHeight="1" x14ac:dyDescent="0.4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38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</row>
    <row r="397" spans="1:40" ht="14.25" customHeight="1" x14ac:dyDescent="0.4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38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</row>
    <row r="398" spans="1:40" ht="14.25" customHeight="1" x14ac:dyDescent="0.4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38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</row>
    <row r="399" spans="1:40" ht="14.25" customHeight="1" x14ac:dyDescent="0.4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38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</row>
    <row r="400" spans="1:40" ht="14.25" customHeight="1" x14ac:dyDescent="0.4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38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</row>
    <row r="401" spans="1:40" ht="14.25" customHeight="1" x14ac:dyDescent="0.4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38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</row>
    <row r="402" spans="1:40" ht="14.25" customHeight="1" x14ac:dyDescent="0.4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38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</row>
    <row r="403" spans="1:40" ht="14.25" customHeight="1" x14ac:dyDescent="0.4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38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</row>
    <row r="404" spans="1:40" ht="14.25" customHeight="1" x14ac:dyDescent="0.4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38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</row>
    <row r="405" spans="1:40" ht="14.25" customHeight="1" x14ac:dyDescent="0.4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38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</row>
    <row r="406" spans="1:40" ht="14.25" customHeight="1" x14ac:dyDescent="0.4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38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</row>
    <row r="407" spans="1:40" ht="14.25" customHeight="1" x14ac:dyDescent="0.4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38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</row>
    <row r="408" spans="1:40" ht="14.25" customHeight="1" x14ac:dyDescent="0.4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38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</row>
    <row r="409" spans="1:40" ht="14.25" customHeight="1" x14ac:dyDescent="0.4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38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</row>
    <row r="410" spans="1:40" ht="14.25" customHeight="1" x14ac:dyDescent="0.4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38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</row>
    <row r="411" spans="1:40" ht="14.25" customHeight="1" x14ac:dyDescent="0.4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38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</row>
    <row r="412" spans="1:40" ht="14.25" customHeight="1" x14ac:dyDescent="0.4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38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</row>
    <row r="413" spans="1:40" ht="14.25" customHeight="1" x14ac:dyDescent="0.4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38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</row>
    <row r="414" spans="1:40" ht="14.25" customHeight="1" x14ac:dyDescent="0.4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38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</row>
    <row r="415" spans="1:40" ht="14.25" customHeight="1" x14ac:dyDescent="0.4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38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</row>
    <row r="416" spans="1:40" ht="14.25" customHeight="1" x14ac:dyDescent="0.4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38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</row>
    <row r="417" spans="1:40" ht="14.25" customHeight="1" x14ac:dyDescent="0.4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38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</row>
    <row r="418" spans="1:40" ht="14.25" customHeight="1" x14ac:dyDescent="0.4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38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</row>
    <row r="419" spans="1:40" ht="14.25" customHeight="1" x14ac:dyDescent="0.4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38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</row>
    <row r="420" spans="1:40" ht="14.25" customHeight="1" x14ac:dyDescent="0.4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38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</row>
    <row r="421" spans="1:40" ht="14.25" customHeight="1" x14ac:dyDescent="0.4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38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</row>
    <row r="422" spans="1:40" ht="14.25" customHeight="1" x14ac:dyDescent="0.4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38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</row>
    <row r="423" spans="1:40" ht="14.25" customHeight="1" x14ac:dyDescent="0.4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38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</row>
    <row r="424" spans="1:40" ht="14.25" customHeight="1" x14ac:dyDescent="0.4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38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</row>
    <row r="425" spans="1:40" ht="14.25" customHeight="1" x14ac:dyDescent="0.4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38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</row>
    <row r="426" spans="1:40" ht="14.25" customHeight="1" x14ac:dyDescent="0.4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38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</row>
    <row r="427" spans="1:40" ht="14.25" customHeight="1" x14ac:dyDescent="0.4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38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</row>
    <row r="428" spans="1:40" ht="14.25" customHeight="1" x14ac:dyDescent="0.4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38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</row>
    <row r="429" spans="1:40" ht="14.25" customHeight="1" x14ac:dyDescent="0.4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38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</row>
    <row r="430" spans="1:40" ht="14.25" customHeight="1" x14ac:dyDescent="0.4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38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</row>
    <row r="431" spans="1:40" ht="14.25" customHeight="1" x14ac:dyDescent="0.4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38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</row>
    <row r="432" spans="1:40" ht="14.25" customHeight="1" x14ac:dyDescent="0.4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38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</row>
    <row r="433" spans="1:40" ht="14.25" customHeight="1" x14ac:dyDescent="0.4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38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</row>
    <row r="434" spans="1:40" ht="14.25" customHeight="1" x14ac:dyDescent="0.4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38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</row>
    <row r="435" spans="1:40" ht="14.25" customHeight="1" x14ac:dyDescent="0.4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38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</row>
    <row r="436" spans="1:40" ht="14.25" customHeight="1" x14ac:dyDescent="0.4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38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</row>
    <row r="437" spans="1:40" ht="14.25" customHeight="1" x14ac:dyDescent="0.4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38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</row>
    <row r="438" spans="1:40" ht="14.25" customHeight="1" x14ac:dyDescent="0.4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38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</row>
    <row r="439" spans="1:40" ht="14.25" customHeight="1" x14ac:dyDescent="0.4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38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</row>
    <row r="440" spans="1:40" ht="14.25" customHeight="1" x14ac:dyDescent="0.4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38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</row>
    <row r="441" spans="1:40" ht="14.25" customHeight="1" x14ac:dyDescent="0.4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38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</row>
    <row r="442" spans="1:40" ht="14.25" customHeight="1" x14ac:dyDescent="0.4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38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</row>
    <row r="443" spans="1:40" ht="14.25" customHeight="1" x14ac:dyDescent="0.4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38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</row>
    <row r="444" spans="1:40" ht="14.25" customHeight="1" x14ac:dyDescent="0.4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38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</row>
    <row r="445" spans="1:40" ht="14.25" customHeight="1" x14ac:dyDescent="0.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38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</row>
    <row r="446" spans="1:40" ht="14.25" customHeight="1" x14ac:dyDescent="0.4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38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</row>
    <row r="447" spans="1:40" ht="14.25" customHeight="1" x14ac:dyDescent="0.4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38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</row>
    <row r="448" spans="1:40" ht="14.25" customHeight="1" x14ac:dyDescent="0.4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38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</row>
    <row r="449" spans="1:40" ht="14.25" customHeight="1" x14ac:dyDescent="0.4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38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</row>
    <row r="450" spans="1:40" ht="14.25" customHeight="1" x14ac:dyDescent="0.4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38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</row>
    <row r="451" spans="1:40" ht="14.25" customHeight="1" x14ac:dyDescent="0.4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38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</row>
    <row r="452" spans="1:40" ht="14.25" customHeight="1" x14ac:dyDescent="0.4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38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</row>
    <row r="453" spans="1:40" ht="14.25" customHeight="1" x14ac:dyDescent="0.4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38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</row>
    <row r="454" spans="1:40" ht="14.25" customHeight="1" x14ac:dyDescent="0.4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38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</row>
    <row r="455" spans="1:40" ht="14.25" customHeight="1" x14ac:dyDescent="0.4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38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</row>
    <row r="456" spans="1:40" ht="14.25" customHeight="1" x14ac:dyDescent="0.4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38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</row>
    <row r="457" spans="1:40" ht="14.25" customHeight="1" x14ac:dyDescent="0.4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38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</row>
    <row r="458" spans="1:40" ht="14.25" customHeight="1" x14ac:dyDescent="0.4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38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</row>
    <row r="459" spans="1:40" ht="14.25" customHeight="1" x14ac:dyDescent="0.4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38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</row>
    <row r="460" spans="1:40" ht="14.25" customHeight="1" x14ac:dyDescent="0.4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38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</row>
    <row r="461" spans="1:40" ht="14.25" customHeight="1" x14ac:dyDescent="0.4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38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</row>
    <row r="462" spans="1:40" ht="14.25" customHeight="1" x14ac:dyDescent="0.4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38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</row>
    <row r="463" spans="1:40" ht="14.25" customHeight="1" x14ac:dyDescent="0.4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38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</row>
    <row r="464" spans="1:40" ht="14.25" customHeight="1" x14ac:dyDescent="0.4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38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</row>
    <row r="465" spans="1:40" ht="14.25" customHeight="1" x14ac:dyDescent="0.4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38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</row>
    <row r="466" spans="1:40" ht="14.25" customHeight="1" x14ac:dyDescent="0.4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38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</row>
    <row r="467" spans="1:40" ht="14.25" customHeight="1" x14ac:dyDescent="0.4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38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</row>
    <row r="468" spans="1:40" ht="14.25" customHeight="1" x14ac:dyDescent="0.4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38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</row>
    <row r="469" spans="1:40" ht="14.25" customHeight="1" x14ac:dyDescent="0.4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38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</row>
    <row r="470" spans="1:40" ht="14.25" customHeight="1" x14ac:dyDescent="0.4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38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</row>
    <row r="471" spans="1:40" ht="14.25" customHeight="1" x14ac:dyDescent="0.4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38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</row>
    <row r="472" spans="1:40" ht="14.25" customHeight="1" x14ac:dyDescent="0.4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38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</row>
    <row r="473" spans="1:40" ht="14.25" customHeight="1" x14ac:dyDescent="0.4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38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</row>
    <row r="474" spans="1:40" ht="14.25" customHeight="1" x14ac:dyDescent="0.4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38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</row>
    <row r="475" spans="1:40" ht="14.25" customHeight="1" x14ac:dyDescent="0.4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38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</row>
    <row r="476" spans="1:40" ht="14.25" customHeight="1" x14ac:dyDescent="0.4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38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</row>
    <row r="477" spans="1:40" ht="14.25" customHeight="1" x14ac:dyDescent="0.4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38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</row>
    <row r="478" spans="1:40" ht="14.25" customHeight="1" x14ac:dyDescent="0.4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38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</row>
    <row r="479" spans="1:40" ht="14.25" customHeight="1" x14ac:dyDescent="0.4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38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</row>
    <row r="480" spans="1:40" ht="14.25" customHeight="1" x14ac:dyDescent="0.4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38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</row>
    <row r="481" spans="1:40" ht="14.25" customHeight="1" x14ac:dyDescent="0.4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38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</row>
    <row r="482" spans="1:40" ht="14.25" customHeight="1" x14ac:dyDescent="0.4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38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</row>
    <row r="483" spans="1:40" ht="14.25" customHeight="1" x14ac:dyDescent="0.4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38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</row>
    <row r="484" spans="1:40" ht="14.25" customHeight="1" x14ac:dyDescent="0.4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38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</row>
    <row r="485" spans="1:40" ht="14.25" customHeight="1" x14ac:dyDescent="0.4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38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</row>
    <row r="486" spans="1:40" ht="14.25" customHeight="1" x14ac:dyDescent="0.4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38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</row>
    <row r="487" spans="1:40" ht="14.25" customHeight="1" x14ac:dyDescent="0.4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38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</row>
    <row r="488" spans="1:40" ht="14.25" customHeight="1" x14ac:dyDescent="0.4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38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</row>
    <row r="489" spans="1:40" ht="14.25" customHeight="1" x14ac:dyDescent="0.4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38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</row>
    <row r="490" spans="1:40" ht="14.25" customHeight="1" x14ac:dyDescent="0.4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38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</row>
    <row r="491" spans="1:40" ht="14.25" customHeight="1" x14ac:dyDescent="0.4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38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</row>
    <row r="492" spans="1:40" ht="14.25" customHeight="1" x14ac:dyDescent="0.4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38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</row>
    <row r="493" spans="1:40" ht="14.25" customHeight="1" x14ac:dyDescent="0.4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38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</row>
    <row r="494" spans="1:40" ht="14.25" customHeight="1" x14ac:dyDescent="0.4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38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</row>
    <row r="495" spans="1:40" ht="14.25" customHeight="1" x14ac:dyDescent="0.4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38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</row>
    <row r="496" spans="1:40" ht="14.25" customHeight="1" x14ac:dyDescent="0.4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38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</row>
    <row r="497" spans="1:40" ht="14.25" customHeight="1" x14ac:dyDescent="0.4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38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</row>
    <row r="498" spans="1:40" ht="14.25" customHeight="1" x14ac:dyDescent="0.4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38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</row>
    <row r="499" spans="1:40" ht="14.25" customHeight="1" x14ac:dyDescent="0.4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38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</row>
    <row r="500" spans="1:40" ht="14.25" customHeight="1" x14ac:dyDescent="0.4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38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</row>
    <row r="501" spans="1:40" ht="14.25" customHeight="1" x14ac:dyDescent="0.4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38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</row>
    <row r="502" spans="1:40" ht="14.25" customHeight="1" x14ac:dyDescent="0.4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38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</row>
    <row r="503" spans="1:40" ht="14.25" customHeight="1" x14ac:dyDescent="0.4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38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</row>
    <row r="504" spans="1:40" ht="14.25" customHeight="1" x14ac:dyDescent="0.4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38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</row>
    <row r="505" spans="1:40" ht="14.25" customHeight="1" x14ac:dyDescent="0.4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38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</row>
    <row r="506" spans="1:40" ht="14.25" customHeight="1" x14ac:dyDescent="0.4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38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</row>
    <row r="507" spans="1:40" ht="14.25" customHeight="1" x14ac:dyDescent="0.4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38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</row>
    <row r="508" spans="1:40" ht="14.25" customHeight="1" x14ac:dyDescent="0.4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38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</row>
    <row r="509" spans="1:40" ht="14.25" customHeight="1" x14ac:dyDescent="0.4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38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</row>
    <row r="510" spans="1:40" ht="14.25" customHeight="1" x14ac:dyDescent="0.4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38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</row>
    <row r="511" spans="1:40" ht="14.25" customHeight="1" x14ac:dyDescent="0.4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38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</row>
    <row r="512" spans="1:40" ht="14.25" customHeight="1" x14ac:dyDescent="0.4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38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</row>
    <row r="513" spans="1:40" ht="14.25" customHeight="1" x14ac:dyDescent="0.4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38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</row>
    <row r="514" spans="1:40" ht="14.25" customHeight="1" x14ac:dyDescent="0.4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38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</row>
    <row r="515" spans="1:40" ht="14.25" customHeight="1" x14ac:dyDescent="0.4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38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</row>
    <row r="516" spans="1:40" ht="14.25" customHeight="1" x14ac:dyDescent="0.4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38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</row>
    <row r="517" spans="1:40" ht="14.25" customHeight="1" x14ac:dyDescent="0.4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38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</row>
    <row r="518" spans="1:40" ht="14.25" customHeight="1" x14ac:dyDescent="0.4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38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</row>
    <row r="519" spans="1:40" ht="14.25" customHeight="1" x14ac:dyDescent="0.4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38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</row>
    <row r="520" spans="1:40" ht="14.25" customHeight="1" x14ac:dyDescent="0.4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38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</row>
    <row r="521" spans="1:40" ht="14.25" customHeight="1" x14ac:dyDescent="0.4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38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</row>
    <row r="522" spans="1:40" ht="14.25" customHeight="1" x14ac:dyDescent="0.4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38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</row>
    <row r="523" spans="1:40" ht="14.25" customHeight="1" x14ac:dyDescent="0.4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38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</row>
    <row r="524" spans="1:40" ht="14.25" customHeight="1" x14ac:dyDescent="0.4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38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</row>
    <row r="525" spans="1:40" ht="14.25" customHeight="1" x14ac:dyDescent="0.4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38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</row>
    <row r="526" spans="1:40" ht="14.25" customHeight="1" x14ac:dyDescent="0.4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38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</row>
    <row r="527" spans="1:40" ht="14.25" customHeight="1" x14ac:dyDescent="0.4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38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</row>
    <row r="528" spans="1:40" ht="14.25" customHeight="1" x14ac:dyDescent="0.4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38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</row>
    <row r="529" spans="1:40" ht="14.25" customHeight="1" x14ac:dyDescent="0.4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38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</row>
    <row r="530" spans="1:40" ht="14.25" customHeight="1" x14ac:dyDescent="0.4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38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</row>
    <row r="531" spans="1:40" ht="14.25" customHeight="1" x14ac:dyDescent="0.4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38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</row>
    <row r="532" spans="1:40" ht="14.25" customHeight="1" x14ac:dyDescent="0.4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38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</row>
    <row r="533" spans="1:40" ht="14.25" customHeight="1" x14ac:dyDescent="0.4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38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</row>
    <row r="534" spans="1:40" ht="14.25" customHeight="1" x14ac:dyDescent="0.4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38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</row>
    <row r="535" spans="1:40" ht="14.25" customHeight="1" x14ac:dyDescent="0.4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38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</row>
    <row r="536" spans="1:40" ht="14.25" customHeight="1" x14ac:dyDescent="0.4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38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</row>
    <row r="537" spans="1:40" ht="14.25" customHeight="1" x14ac:dyDescent="0.4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38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</row>
    <row r="538" spans="1:40" ht="14.25" customHeight="1" x14ac:dyDescent="0.4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38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</row>
    <row r="539" spans="1:40" ht="14.25" customHeight="1" x14ac:dyDescent="0.4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38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</row>
    <row r="540" spans="1:40" ht="14.25" customHeight="1" x14ac:dyDescent="0.4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38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</row>
    <row r="541" spans="1:40" ht="14.25" customHeight="1" x14ac:dyDescent="0.4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38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</row>
    <row r="542" spans="1:40" ht="14.25" customHeight="1" x14ac:dyDescent="0.4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38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</row>
    <row r="543" spans="1:40" ht="14.25" customHeight="1" x14ac:dyDescent="0.4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38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</row>
    <row r="544" spans="1:40" ht="14.25" customHeight="1" x14ac:dyDescent="0.4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38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</row>
    <row r="545" spans="1:40" ht="14.25" customHeight="1" x14ac:dyDescent="0.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38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</row>
    <row r="546" spans="1:40" ht="14.25" customHeight="1" x14ac:dyDescent="0.4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38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</row>
    <row r="547" spans="1:40" ht="14.25" customHeight="1" x14ac:dyDescent="0.4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38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</row>
    <row r="548" spans="1:40" ht="14.25" customHeight="1" x14ac:dyDescent="0.4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38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</row>
    <row r="549" spans="1:40" ht="14.25" customHeight="1" x14ac:dyDescent="0.4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38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</row>
    <row r="550" spans="1:40" ht="14.25" customHeight="1" x14ac:dyDescent="0.4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38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</row>
    <row r="551" spans="1:40" ht="14.25" customHeight="1" x14ac:dyDescent="0.4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38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</row>
    <row r="552" spans="1:40" ht="14.25" customHeight="1" x14ac:dyDescent="0.4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38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</row>
    <row r="553" spans="1:40" ht="14.25" customHeight="1" x14ac:dyDescent="0.4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38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</row>
    <row r="554" spans="1:40" ht="14.25" customHeight="1" x14ac:dyDescent="0.4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38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</row>
    <row r="555" spans="1:40" ht="14.25" customHeight="1" x14ac:dyDescent="0.4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38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</row>
    <row r="556" spans="1:40" ht="14.25" customHeight="1" x14ac:dyDescent="0.4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38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</row>
    <row r="557" spans="1:40" ht="14.25" customHeight="1" x14ac:dyDescent="0.4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38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</row>
    <row r="558" spans="1:40" ht="14.25" customHeight="1" x14ac:dyDescent="0.4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38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</row>
    <row r="559" spans="1:40" ht="14.25" customHeight="1" x14ac:dyDescent="0.4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38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</row>
    <row r="560" spans="1:40" ht="14.25" customHeight="1" x14ac:dyDescent="0.4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38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</row>
    <row r="561" spans="1:40" ht="14.25" customHeight="1" x14ac:dyDescent="0.4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38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</row>
    <row r="562" spans="1:40" ht="14.25" customHeight="1" x14ac:dyDescent="0.4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38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</row>
    <row r="563" spans="1:40" ht="14.25" customHeight="1" x14ac:dyDescent="0.4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38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</row>
    <row r="564" spans="1:40" ht="14.25" customHeight="1" x14ac:dyDescent="0.4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38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</row>
    <row r="565" spans="1:40" ht="14.25" customHeight="1" x14ac:dyDescent="0.4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38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</row>
    <row r="566" spans="1:40" ht="14.25" customHeight="1" x14ac:dyDescent="0.4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38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</row>
    <row r="567" spans="1:40" ht="14.25" customHeight="1" x14ac:dyDescent="0.4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38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</row>
    <row r="568" spans="1:40" ht="14.25" customHeight="1" x14ac:dyDescent="0.4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38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</row>
    <row r="569" spans="1:40" ht="14.25" customHeight="1" x14ac:dyDescent="0.4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38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</row>
    <row r="570" spans="1:40" ht="14.25" customHeight="1" x14ac:dyDescent="0.4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38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</row>
    <row r="571" spans="1:40" ht="14.25" customHeight="1" x14ac:dyDescent="0.4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38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</row>
    <row r="572" spans="1:40" ht="14.25" customHeight="1" x14ac:dyDescent="0.4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38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</row>
    <row r="573" spans="1:40" ht="14.25" customHeight="1" x14ac:dyDescent="0.4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38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</row>
    <row r="574" spans="1:40" ht="14.25" customHeight="1" x14ac:dyDescent="0.4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38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</row>
    <row r="575" spans="1:40" ht="14.25" customHeight="1" x14ac:dyDescent="0.4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38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</row>
    <row r="576" spans="1:40" ht="14.25" customHeight="1" x14ac:dyDescent="0.4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38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</row>
    <row r="577" spans="1:40" ht="14.25" customHeight="1" x14ac:dyDescent="0.4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38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</row>
    <row r="578" spans="1:40" ht="14.25" customHeight="1" x14ac:dyDescent="0.4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38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</row>
    <row r="579" spans="1:40" ht="14.25" customHeight="1" x14ac:dyDescent="0.4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38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</row>
    <row r="580" spans="1:40" ht="14.25" customHeight="1" x14ac:dyDescent="0.4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38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</row>
    <row r="581" spans="1:40" ht="14.25" customHeight="1" x14ac:dyDescent="0.4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38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</row>
    <row r="582" spans="1:40" ht="14.25" customHeight="1" x14ac:dyDescent="0.4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38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</row>
    <row r="583" spans="1:40" ht="14.25" customHeight="1" x14ac:dyDescent="0.4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38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</row>
    <row r="584" spans="1:40" ht="14.25" customHeight="1" x14ac:dyDescent="0.4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38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</row>
    <row r="585" spans="1:40" ht="14.25" customHeight="1" x14ac:dyDescent="0.4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38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</row>
    <row r="586" spans="1:40" ht="14.25" customHeight="1" x14ac:dyDescent="0.4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38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</row>
    <row r="587" spans="1:40" ht="14.25" customHeight="1" x14ac:dyDescent="0.4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38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</row>
    <row r="588" spans="1:40" ht="14.25" customHeight="1" x14ac:dyDescent="0.4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38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</row>
    <row r="589" spans="1:40" ht="14.25" customHeight="1" x14ac:dyDescent="0.4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38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</row>
    <row r="590" spans="1:40" ht="14.25" customHeight="1" x14ac:dyDescent="0.4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38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</row>
    <row r="591" spans="1:40" ht="14.25" customHeight="1" x14ac:dyDescent="0.4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38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</row>
    <row r="592" spans="1:40" ht="14.25" customHeight="1" x14ac:dyDescent="0.4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38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</row>
    <row r="593" spans="1:40" ht="14.25" customHeight="1" x14ac:dyDescent="0.4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38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</row>
    <row r="594" spans="1:40" ht="14.25" customHeight="1" x14ac:dyDescent="0.4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38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</row>
    <row r="595" spans="1:40" ht="14.25" customHeight="1" x14ac:dyDescent="0.4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38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</row>
    <row r="596" spans="1:40" ht="14.25" customHeight="1" x14ac:dyDescent="0.4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38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</row>
    <row r="597" spans="1:40" ht="14.25" customHeight="1" x14ac:dyDescent="0.4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38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</row>
    <row r="598" spans="1:40" ht="14.25" customHeight="1" x14ac:dyDescent="0.4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38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</row>
    <row r="599" spans="1:40" ht="14.25" customHeight="1" x14ac:dyDescent="0.4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38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</row>
    <row r="600" spans="1:40" ht="14.25" customHeight="1" x14ac:dyDescent="0.4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38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</row>
    <row r="601" spans="1:40" ht="14.25" customHeight="1" x14ac:dyDescent="0.4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38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</row>
    <row r="602" spans="1:40" ht="14.25" customHeight="1" x14ac:dyDescent="0.4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38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</row>
    <row r="603" spans="1:40" ht="14.25" customHeight="1" x14ac:dyDescent="0.4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38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</row>
    <row r="604" spans="1:40" ht="14.25" customHeight="1" x14ac:dyDescent="0.4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38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</row>
    <row r="605" spans="1:40" ht="14.25" customHeight="1" x14ac:dyDescent="0.4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38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</row>
    <row r="606" spans="1:40" ht="14.25" customHeight="1" x14ac:dyDescent="0.4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38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</row>
    <row r="607" spans="1:40" ht="14.25" customHeight="1" x14ac:dyDescent="0.4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38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</row>
    <row r="608" spans="1:40" ht="14.25" customHeight="1" x14ac:dyDescent="0.4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38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</row>
    <row r="609" spans="1:40" ht="14.25" customHeight="1" x14ac:dyDescent="0.4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38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</row>
    <row r="610" spans="1:40" ht="14.25" customHeight="1" x14ac:dyDescent="0.4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38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</row>
    <row r="611" spans="1:40" ht="14.25" customHeight="1" x14ac:dyDescent="0.4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38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</row>
    <row r="612" spans="1:40" ht="14.25" customHeight="1" x14ac:dyDescent="0.4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38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</row>
    <row r="613" spans="1:40" ht="14.25" customHeight="1" x14ac:dyDescent="0.4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38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</row>
    <row r="614" spans="1:40" ht="14.25" customHeight="1" x14ac:dyDescent="0.4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38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</row>
    <row r="615" spans="1:40" ht="14.25" customHeight="1" x14ac:dyDescent="0.4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38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</row>
    <row r="616" spans="1:40" ht="14.25" customHeight="1" x14ac:dyDescent="0.4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38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</row>
    <row r="617" spans="1:40" ht="14.25" customHeight="1" x14ac:dyDescent="0.4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38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</row>
    <row r="618" spans="1:40" ht="14.25" customHeight="1" x14ac:dyDescent="0.4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38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</row>
    <row r="619" spans="1:40" ht="14.25" customHeight="1" x14ac:dyDescent="0.4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38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</row>
    <row r="620" spans="1:40" ht="14.25" customHeight="1" x14ac:dyDescent="0.4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38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</row>
    <row r="621" spans="1:40" ht="14.25" customHeight="1" x14ac:dyDescent="0.4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38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</row>
    <row r="622" spans="1:40" ht="14.25" customHeight="1" x14ac:dyDescent="0.4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38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</row>
    <row r="623" spans="1:40" ht="14.25" customHeight="1" x14ac:dyDescent="0.4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38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</row>
    <row r="624" spans="1:40" ht="14.25" customHeight="1" x14ac:dyDescent="0.4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38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</row>
    <row r="625" spans="1:40" ht="14.25" customHeight="1" x14ac:dyDescent="0.4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38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</row>
    <row r="626" spans="1:40" ht="14.25" customHeight="1" x14ac:dyDescent="0.4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38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</row>
    <row r="627" spans="1:40" ht="14.25" customHeight="1" x14ac:dyDescent="0.4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38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</row>
    <row r="628" spans="1:40" ht="14.25" customHeight="1" x14ac:dyDescent="0.4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38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</row>
    <row r="629" spans="1:40" ht="14.25" customHeight="1" x14ac:dyDescent="0.4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38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</row>
    <row r="630" spans="1:40" ht="14.25" customHeight="1" x14ac:dyDescent="0.4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38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</row>
    <row r="631" spans="1:40" ht="14.25" customHeight="1" x14ac:dyDescent="0.4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38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</row>
    <row r="632" spans="1:40" ht="14.25" customHeight="1" x14ac:dyDescent="0.4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38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</row>
    <row r="633" spans="1:40" ht="14.25" customHeight="1" x14ac:dyDescent="0.4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38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</row>
    <row r="634" spans="1:40" ht="14.25" customHeight="1" x14ac:dyDescent="0.4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38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</row>
    <row r="635" spans="1:40" ht="14.25" customHeight="1" x14ac:dyDescent="0.4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38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</row>
    <row r="636" spans="1:40" ht="14.25" customHeight="1" x14ac:dyDescent="0.4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38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</row>
    <row r="637" spans="1:40" ht="14.25" customHeight="1" x14ac:dyDescent="0.4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38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</row>
    <row r="638" spans="1:40" ht="14.25" customHeight="1" x14ac:dyDescent="0.4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38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</row>
    <row r="639" spans="1:40" ht="14.25" customHeight="1" x14ac:dyDescent="0.4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38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</row>
    <row r="640" spans="1:40" ht="14.25" customHeight="1" x14ac:dyDescent="0.4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38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</row>
    <row r="641" spans="1:40" ht="14.25" customHeight="1" x14ac:dyDescent="0.4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38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</row>
    <row r="642" spans="1:40" ht="14.25" customHeight="1" x14ac:dyDescent="0.4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38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</row>
    <row r="643" spans="1:40" ht="14.25" customHeight="1" x14ac:dyDescent="0.4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38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</row>
    <row r="644" spans="1:40" ht="14.25" customHeight="1" x14ac:dyDescent="0.4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38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</row>
    <row r="645" spans="1:40" ht="14.25" customHeight="1" x14ac:dyDescent="0.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38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</row>
    <row r="646" spans="1:40" ht="14.25" customHeight="1" x14ac:dyDescent="0.4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38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</row>
    <row r="647" spans="1:40" ht="14.25" customHeight="1" x14ac:dyDescent="0.4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38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</row>
    <row r="648" spans="1:40" ht="14.25" customHeight="1" x14ac:dyDescent="0.4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38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</row>
    <row r="649" spans="1:40" ht="14.25" customHeight="1" x14ac:dyDescent="0.4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38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</row>
    <row r="650" spans="1:40" ht="14.25" customHeight="1" x14ac:dyDescent="0.4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38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</row>
    <row r="651" spans="1:40" ht="14.25" customHeight="1" x14ac:dyDescent="0.4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38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</row>
    <row r="652" spans="1:40" ht="14.25" customHeight="1" x14ac:dyDescent="0.4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38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</row>
    <row r="653" spans="1:40" ht="14.25" customHeight="1" x14ac:dyDescent="0.4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38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</row>
    <row r="654" spans="1:40" ht="14.25" customHeight="1" x14ac:dyDescent="0.4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38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</row>
    <row r="655" spans="1:40" ht="14.25" customHeight="1" x14ac:dyDescent="0.4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38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</row>
    <row r="656" spans="1:40" ht="14.25" customHeight="1" x14ac:dyDescent="0.4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38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</row>
    <row r="657" spans="1:40" ht="14.25" customHeight="1" x14ac:dyDescent="0.4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38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</row>
    <row r="658" spans="1:40" ht="14.25" customHeight="1" x14ac:dyDescent="0.4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38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</row>
    <row r="659" spans="1:40" ht="14.25" customHeight="1" x14ac:dyDescent="0.4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38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</row>
    <row r="660" spans="1:40" ht="14.25" customHeight="1" x14ac:dyDescent="0.4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38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</row>
    <row r="661" spans="1:40" ht="14.25" customHeight="1" x14ac:dyDescent="0.4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38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</row>
    <row r="662" spans="1:40" ht="14.25" customHeight="1" x14ac:dyDescent="0.4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38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</row>
    <row r="663" spans="1:40" ht="14.25" customHeight="1" x14ac:dyDescent="0.4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38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</row>
    <row r="664" spans="1:40" ht="14.25" customHeight="1" x14ac:dyDescent="0.4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38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</row>
    <row r="665" spans="1:40" ht="14.25" customHeight="1" x14ac:dyDescent="0.4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38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</row>
    <row r="666" spans="1:40" ht="14.25" customHeight="1" x14ac:dyDescent="0.4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38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</row>
    <row r="667" spans="1:40" ht="14.25" customHeight="1" x14ac:dyDescent="0.4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38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</row>
    <row r="668" spans="1:40" ht="14.25" customHeight="1" x14ac:dyDescent="0.4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38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</row>
    <row r="669" spans="1:40" ht="14.25" customHeight="1" x14ac:dyDescent="0.4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38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</row>
    <row r="670" spans="1:40" ht="14.25" customHeight="1" x14ac:dyDescent="0.4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38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</row>
    <row r="671" spans="1:40" ht="14.25" customHeight="1" x14ac:dyDescent="0.4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38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</row>
    <row r="672" spans="1:40" ht="14.25" customHeight="1" x14ac:dyDescent="0.4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38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</row>
    <row r="673" spans="1:40" ht="14.25" customHeight="1" x14ac:dyDescent="0.4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38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</row>
    <row r="674" spans="1:40" ht="14.25" customHeight="1" x14ac:dyDescent="0.4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38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</row>
    <row r="675" spans="1:40" ht="14.25" customHeight="1" x14ac:dyDescent="0.4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38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</row>
    <row r="676" spans="1:40" ht="14.25" customHeight="1" x14ac:dyDescent="0.4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38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</row>
    <row r="677" spans="1:40" ht="14.25" customHeight="1" x14ac:dyDescent="0.4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38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</row>
    <row r="678" spans="1:40" ht="14.25" customHeight="1" x14ac:dyDescent="0.4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38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</row>
    <row r="679" spans="1:40" ht="14.25" customHeight="1" x14ac:dyDescent="0.4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38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</row>
    <row r="680" spans="1:40" ht="14.25" customHeight="1" x14ac:dyDescent="0.4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38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</row>
    <row r="681" spans="1:40" ht="14.25" customHeight="1" x14ac:dyDescent="0.4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38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</row>
    <row r="682" spans="1:40" ht="14.25" customHeight="1" x14ac:dyDescent="0.4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38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</row>
    <row r="683" spans="1:40" ht="14.25" customHeight="1" x14ac:dyDescent="0.4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38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</row>
    <row r="684" spans="1:40" ht="14.25" customHeight="1" x14ac:dyDescent="0.4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38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</row>
    <row r="685" spans="1:40" ht="14.25" customHeight="1" x14ac:dyDescent="0.4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38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</row>
    <row r="686" spans="1:40" ht="14.25" customHeight="1" x14ac:dyDescent="0.4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38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</row>
    <row r="687" spans="1:40" ht="14.25" customHeight="1" x14ac:dyDescent="0.4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38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</row>
    <row r="688" spans="1:40" ht="14.25" customHeight="1" x14ac:dyDescent="0.4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38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</row>
    <row r="689" spans="1:40" ht="14.25" customHeight="1" x14ac:dyDescent="0.4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38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</row>
    <row r="690" spans="1:40" ht="14.25" customHeight="1" x14ac:dyDescent="0.4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38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</row>
    <row r="691" spans="1:40" ht="14.25" customHeight="1" x14ac:dyDescent="0.4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38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</row>
    <row r="692" spans="1:40" ht="14.25" customHeight="1" x14ac:dyDescent="0.4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38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</row>
    <row r="693" spans="1:40" ht="14.25" customHeight="1" x14ac:dyDescent="0.4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38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</row>
    <row r="694" spans="1:40" ht="14.25" customHeight="1" x14ac:dyDescent="0.4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38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</row>
    <row r="695" spans="1:40" ht="14.25" customHeight="1" x14ac:dyDescent="0.4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38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</row>
    <row r="696" spans="1:40" ht="14.25" customHeight="1" x14ac:dyDescent="0.4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38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</row>
    <row r="697" spans="1:40" ht="14.25" customHeight="1" x14ac:dyDescent="0.4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38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</row>
    <row r="698" spans="1:40" ht="14.25" customHeight="1" x14ac:dyDescent="0.4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38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</row>
    <row r="699" spans="1:40" ht="14.25" customHeight="1" x14ac:dyDescent="0.4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38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</row>
    <row r="700" spans="1:40" ht="14.25" customHeight="1" x14ac:dyDescent="0.4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38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</row>
    <row r="701" spans="1:40" ht="14.25" customHeight="1" x14ac:dyDescent="0.4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38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</row>
    <row r="702" spans="1:40" ht="14.25" customHeight="1" x14ac:dyDescent="0.4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38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</row>
    <row r="703" spans="1:40" ht="14.25" customHeight="1" x14ac:dyDescent="0.4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38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</row>
    <row r="704" spans="1:40" ht="14.25" customHeight="1" x14ac:dyDescent="0.4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38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</row>
    <row r="705" spans="1:40" ht="14.25" customHeight="1" x14ac:dyDescent="0.4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38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</row>
    <row r="706" spans="1:40" ht="14.25" customHeight="1" x14ac:dyDescent="0.4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38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</row>
    <row r="707" spans="1:40" ht="14.25" customHeight="1" x14ac:dyDescent="0.4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38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</row>
    <row r="708" spans="1:40" ht="14.25" customHeight="1" x14ac:dyDescent="0.4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38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</row>
    <row r="709" spans="1:40" ht="14.25" customHeight="1" x14ac:dyDescent="0.4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38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</row>
    <row r="710" spans="1:40" ht="14.25" customHeight="1" x14ac:dyDescent="0.4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38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</row>
    <row r="711" spans="1:40" ht="14.25" customHeight="1" x14ac:dyDescent="0.4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38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</row>
    <row r="712" spans="1:40" ht="14.25" customHeight="1" x14ac:dyDescent="0.4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38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</row>
    <row r="713" spans="1:40" ht="14.25" customHeight="1" x14ac:dyDescent="0.4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38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</row>
    <row r="714" spans="1:40" ht="14.25" customHeight="1" x14ac:dyDescent="0.4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38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</row>
    <row r="715" spans="1:40" ht="14.25" customHeight="1" x14ac:dyDescent="0.4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38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</row>
    <row r="716" spans="1:40" ht="14.25" customHeight="1" x14ac:dyDescent="0.4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38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</row>
    <row r="717" spans="1:40" ht="14.25" customHeight="1" x14ac:dyDescent="0.4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38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</row>
    <row r="718" spans="1:40" ht="14.25" customHeight="1" x14ac:dyDescent="0.4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38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</row>
    <row r="719" spans="1:40" ht="14.25" customHeight="1" x14ac:dyDescent="0.4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38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</row>
    <row r="720" spans="1:40" ht="14.25" customHeight="1" x14ac:dyDescent="0.4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38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</row>
    <row r="721" spans="1:40" ht="14.25" customHeight="1" x14ac:dyDescent="0.4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38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</row>
    <row r="722" spans="1:40" ht="14.25" customHeight="1" x14ac:dyDescent="0.4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38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</row>
    <row r="723" spans="1:40" ht="14.25" customHeight="1" x14ac:dyDescent="0.4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38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</row>
    <row r="724" spans="1:40" ht="14.25" customHeight="1" x14ac:dyDescent="0.4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38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</row>
    <row r="725" spans="1:40" ht="14.25" customHeight="1" x14ac:dyDescent="0.4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38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</row>
    <row r="726" spans="1:40" ht="14.25" customHeight="1" x14ac:dyDescent="0.4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38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</row>
    <row r="727" spans="1:40" ht="14.25" customHeight="1" x14ac:dyDescent="0.4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38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</row>
    <row r="728" spans="1:40" ht="14.25" customHeight="1" x14ac:dyDescent="0.4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38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</row>
    <row r="729" spans="1:40" ht="14.25" customHeight="1" x14ac:dyDescent="0.4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38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</row>
    <row r="730" spans="1:40" ht="14.25" customHeight="1" x14ac:dyDescent="0.4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38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</row>
    <row r="731" spans="1:40" ht="14.25" customHeight="1" x14ac:dyDescent="0.4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38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</row>
    <row r="732" spans="1:40" ht="14.25" customHeight="1" x14ac:dyDescent="0.4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38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</row>
    <row r="733" spans="1:40" ht="14.25" customHeight="1" x14ac:dyDescent="0.4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38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</row>
    <row r="734" spans="1:40" ht="14.25" customHeight="1" x14ac:dyDescent="0.4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38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</row>
    <row r="735" spans="1:40" ht="14.25" customHeight="1" x14ac:dyDescent="0.4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38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</row>
    <row r="736" spans="1:40" ht="14.25" customHeight="1" x14ac:dyDescent="0.4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38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</row>
    <row r="737" spans="1:40" ht="14.25" customHeight="1" x14ac:dyDescent="0.4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38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</row>
    <row r="738" spans="1:40" ht="14.25" customHeight="1" x14ac:dyDescent="0.4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38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</row>
    <row r="739" spans="1:40" ht="14.25" customHeight="1" x14ac:dyDescent="0.4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38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</row>
    <row r="740" spans="1:40" ht="14.25" customHeight="1" x14ac:dyDescent="0.4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38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</row>
    <row r="741" spans="1:40" ht="14.25" customHeight="1" x14ac:dyDescent="0.4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38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</row>
    <row r="742" spans="1:40" ht="14.25" customHeight="1" x14ac:dyDescent="0.4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38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</row>
    <row r="743" spans="1:40" ht="14.25" customHeight="1" x14ac:dyDescent="0.4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38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</row>
    <row r="744" spans="1:40" ht="14.25" customHeight="1" x14ac:dyDescent="0.4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38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</row>
    <row r="745" spans="1:40" ht="14.25" customHeight="1" x14ac:dyDescent="0.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38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</row>
    <row r="746" spans="1:40" ht="14.25" customHeight="1" x14ac:dyDescent="0.4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38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</row>
    <row r="747" spans="1:40" ht="14.25" customHeight="1" x14ac:dyDescent="0.4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38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</row>
    <row r="748" spans="1:40" ht="14.25" customHeight="1" x14ac:dyDescent="0.4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38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</row>
    <row r="749" spans="1:40" ht="14.25" customHeight="1" x14ac:dyDescent="0.4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38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</row>
    <row r="750" spans="1:40" ht="14.25" customHeight="1" x14ac:dyDescent="0.4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38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</row>
    <row r="751" spans="1:40" ht="14.25" customHeight="1" x14ac:dyDescent="0.4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38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</row>
    <row r="752" spans="1:40" ht="14.25" customHeight="1" x14ac:dyDescent="0.4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38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</row>
    <row r="753" spans="1:40" ht="14.25" customHeight="1" x14ac:dyDescent="0.4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38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</row>
    <row r="754" spans="1:40" ht="14.25" customHeight="1" x14ac:dyDescent="0.4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38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</row>
    <row r="755" spans="1:40" ht="14.25" customHeight="1" x14ac:dyDescent="0.4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38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</row>
    <row r="756" spans="1:40" ht="14.25" customHeight="1" x14ac:dyDescent="0.4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38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</row>
    <row r="757" spans="1:40" ht="14.25" customHeight="1" x14ac:dyDescent="0.4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38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</row>
    <row r="758" spans="1:40" ht="14.25" customHeight="1" x14ac:dyDescent="0.4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38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</row>
    <row r="759" spans="1:40" ht="14.25" customHeight="1" x14ac:dyDescent="0.4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38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</row>
    <row r="760" spans="1:40" ht="14.25" customHeight="1" x14ac:dyDescent="0.4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38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</row>
    <row r="761" spans="1:40" ht="14.25" customHeight="1" x14ac:dyDescent="0.4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38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</row>
    <row r="762" spans="1:40" ht="14.25" customHeight="1" x14ac:dyDescent="0.4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38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</row>
    <row r="763" spans="1:40" ht="14.25" customHeight="1" x14ac:dyDescent="0.4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38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</row>
    <row r="764" spans="1:40" ht="14.25" customHeight="1" x14ac:dyDescent="0.4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38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</row>
    <row r="765" spans="1:40" ht="14.25" customHeight="1" x14ac:dyDescent="0.4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38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</row>
    <row r="766" spans="1:40" ht="14.25" customHeight="1" x14ac:dyDescent="0.4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38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</row>
    <row r="767" spans="1:40" ht="14.25" customHeight="1" x14ac:dyDescent="0.4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38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</row>
    <row r="768" spans="1:40" ht="14.25" customHeight="1" x14ac:dyDescent="0.4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38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</row>
    <row r="769" spans="1:40" ht="14.25" customHeight="1" x14ac:dyDescent="0.4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38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</row>
    <row r="770" spans="1:40" ht="14.25" customHeight="1" x14ac:dyDescent="0.4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38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</row>
    <row r="771" spans="1:40" ht="14.25" customHeight="1" x14ac:dyDescent="0.4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38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</row>
    <row r="772" spans="1:40" ht="14.25" customHeight="1" x14ac:dyDescent="0.4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38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</row>
    <row r="773" spans="1:40" ht="14.25" customHeight="1" x14ac:dyDescent="0.4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38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</row>
    <row r="774" spans="1:40" ht="14.25" customHeight="1" x14ac:dyDescent="0.4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38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</row>
    <row r="775" spans="1:40" ht="14.25" customHeight="1" x14ac:dyDescent="0.4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38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</row>
    <row r="776" spans="1:40" ht="14.25" customHeight="1" x14ac:dyDescent="0.4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38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</row>
    <row r="777" spans="1:40" ht="14.25" customHeight="1" x14ac:dyDescent="0.4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38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</row>
    <row r="778" spans="1:40" ht="14.25" customHeight="1" x14ac:dyDescent="0.4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38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</row>
    <row r="779" spans="1:40" ht="14.25" customHeight="1" x14ac:dyDescent="0.4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38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</row>
    <row r="780" spans="1:40" ht="14.25" customHeight="1" x14ac:dyDescent="0.4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38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</row>
    <row r="781" spans="1:40" ht="14.25" customHeight="1" x14ac:dyDescent="0.4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38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</row>
    <row r="782" spans="1:40" ht="14.25" customHeight="1" x14ac:dyDescent="0.4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38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</row>
    <row r="783" spans="1:40" ht="14.25" customHeight="1" x14ac:dyDescent="0.4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38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</row>
    <row r="784" spans="1:40" ht="14.25" customHeight="1" x14ac:dyDescent="0.4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38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</row>
    <row r="785" spans="1:40" ht="14.25" customHeight="1" x14ac:dyDescent="0.4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38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</row>
    <row r="786" spans="1:40" ht="14.25" customHeight="1" x14ac:dyDescent="0.4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38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</row>
    <row r="787" spans="1:40" ht="14.25" customHeight="1" x14ac:dyDescent="0.4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38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</row>
    <row r="788" spans="1:40" ht="14.25" customHeight="1" x14ac:dyDescent="0.4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38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</row>
    <row r="789" spans="1:40" ht="14.25" customHeight="1" x14ac:dyDescent="0.4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38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</row>
    <row r="790" spans="1:40" ht="14.25" customHeight="1" x14ac:dyDescent="0.4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38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</row>
    <row r="791" spans="1:40" ht="14.25" customHeight="1" x14ac:dyDescent="0.4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38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</row>
    <row r="792" spans="1:40" ht="14.25" customHeight="1" x14ac:dyDescent="0.4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38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</row>
    <row r="793" spans="1:40" ht="14.25" customHeight="1" x14ac:dyDescent="0.4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38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</row>
    <row r="794" spans="1:40" ht="14.25" customHeight="1" x14ac:dyDescent="0.4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38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</row>
    <row r="795" spans="1:40" ht="14.25" customHeight="1" x14ac:dyDescent="0.4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38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</row>
    <row r="796" spans="1:40" ht="14.25" customHeight="1" x14ac:dyDescent="0.4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38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</row>
    <row r="797" spans="1:40" ht="14.25" customHeight="1" x14ac:dyDescent="0.4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38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</row>
    <row r="798" spans="1:40" ht="14.25" customHeight="1" x14ac:dyDescent="0.4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38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</row>
    <row r="799" spans="1:40" ht="14.25" customHeight="1" x14ac:dyDescent="0.4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38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</row>
    <row r="800" spans="1:40" ht="14.25" customHeight="1" x14ac:dyDescent="0.4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38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</row>
    <row r="801" spans="1:40" ht="14.25" customHeight="1" x14ac:dyDescent="0.4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38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</row>
    <row r="802" spans="1:40" ht="14.25" customHeight="1" x14ac:dyDescent="0.4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38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</row>
    <row r="803" spans="1:40" ht="14.25" customHeight="1" x14ac:dyDescent="0.4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38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</row>
    <row r="804" spans="1:40" ht="14.25" customHeight="1" x14ac:dyDescent="0.4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38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</row>
    <row r="805" spans="1:40" ht="14.25" customHeight="1" x14ac:dyDescent="0.4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38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</row>
    <row r="806" spans="1:40" ht="14.25" customHeight="1" x14ac:dyDescent="0.4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38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</row>
    <row r="807" spans="1:40" ht="14.25" customHeight="1" x14ac:dyDescent="0.4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38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</row>
    <row r="808" spans="1:40" ht="14.25" customHeight="1" x14ac:dyDescent="0.4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38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</row>
    <row r="809" spans="1:40" ht="14.25" customHeight="1" x14ac:dyDescent="0.4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38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</row>
    <row r="810" spans="1:40" ht="14.25" customHeight="1" x14ac:dyDescent="0.4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38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</row>
    <row r="811" spans="1:40" ht="14.25" customHeight="1" x14ac:dyDescent="0.4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38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</row>
    <row r="812" spans="1:40" ht="14.25" customHeight="1" x14ac:dyDescent="0.4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38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</row>
    <row r="813" spans="1:40" ht="14.25" customHeight="1" x14ac:dyDescent="0.4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38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</row>
    <row r="814" spans="1:40" ht="14.25" customHeight="1" x14ac:dyDescent="0.4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38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</row>
    <row r="815" spans="1:40" ht="14.25" customHeight="1" x14ac:dyDescent="0.4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38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</row>
    <row r="816" spans="1:40" ht="14.25" customHeight="1" x14ac:dyDescent="0.4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38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</row>
    <row r="817" spans="1:40" ht="14.25" customHeight="1" x14ac:dyDescent="0.4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38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</row>
    <row r="818" spans="1:40" ht="14.25" customHeight="1" x14ac:dyDescent="0.4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38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</row>
    <row r="819" spans="1:40" ht="14.25" customHeight="1" x14ac:dyDescent="0.4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38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</row>
    <row r="820" spans="1:40" ht="14.25" customHeight="1" x14ac:dyDescent="0.4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38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</row>
    <row r="821" spans="1:40" ht="14.25" customHeight="1" x14ac:dyDescent="0.4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38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</row>
    <row r="822" spans="1:40" ht="14.25" customHeight="1" x14ac:dyDescent="0.4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38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</row>
    <row r="823" spans="1:40" ht="14.25" customHeight="1" x14ac:dyDescent="0.4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38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</row>
    <row r="824" spans="1:40" ht="14.25" customHeight="1" x14ac:dyDescent="0.4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38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</row>
    <row r="825" spans="1:40" ht="14.25" customHeight="1" x14ac:dyDescent="0.4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38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</row>
    <row r="826" spans="1:40" ht="14.25" customHeight="1" x14ac:dyDescent="0.4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38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</row>
    <row r="827" spans="1:40" ht="14.25" customHeight="1" x14ac:dyDescent="0.4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38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</row>
    <row r="828" spans="1:40" ht="14.25" customHeight="1" x14ac:dyDescent="0.4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38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</row>
    <row r="829" spans="1:40" ht="14.25" customHeight="1" x14ac:dyDescent="0.4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38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</row>
    <row r="830" spans="1:40" ht="14.25" customHeight="1" x14ac:dyDescent="0.4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38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</row>
    <row r="831" spans="1:40" ht="14.25" customHeight="1" x14ac:dyDescent="0.4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38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</row>
    <row r="832" spans="1:40" ht="14.25" customHeight="1" x14ac:dyDescent="0.4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38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</row>
    <row r="833" spans="1:40" ht="14.25" customHeight="1" x14ac:dyDescent="0.4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38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</row>
    <row r="834" spans="1:40" ht="14.25" customHeight="1" x14ac:dyDescent="0.4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38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</row>
    <row r="835" spans="1:40" ht="14.25" customHeight="1" x14ac:dyDescent="0.4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38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</row>
    <row r="836" spans="1:40" ht="14.25" customHeight="1" x14ac:dyDescent="0.4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38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</row>
    <row r="837" spans="1:40" ht="14.25" customHeight="1" x14ac:dyDescent="0.4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38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</row>
    <row r="838" spans="1:40" ht="14.25" customHeight="1" x14ac:dyDescent="0.4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38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</row>
    <row r="839" spans="1:40" ht="14.25" customHeight="1" x14ac:dyDescent="0.4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38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</row>
    <row r="840" spans="1:40" ht="14.25" customHeight="1" x14ac:dyDescent="0.4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38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</row>
    <row r="841" spans="1:40" ht="14.25" customHeight="1" x14ac:dyDescent="0.4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38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</row>
    <row r="842" spans="1:40" ht="14.25" customHeight="1" x14ac:dyDescent="0.4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38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</row>
    <row r="843" spans="1:40" ht="14.25" customHeight="1" x14ac:dyDescent="0.4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38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</row>
    <row r="844" spans="1:40" ht="14.25" customHeight="1" x14ac:dyDescent="0.4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38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</row>
    <row r="845" spans="1:40" ht="14.25" customHeight="1" x14ac:dyDescent="0.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38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</row>
    <row r="846" spans="1:40" ht="14.25" customHeight="1" x14ac:dyDescent="0.4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38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</row>
    <row r="847" spans="1:40" ht="14.25" customHeight="1" x14ac:dyDescent="0.4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38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</row>
    <row r="848" spans="1:40" ht="14.25" customHeight="1" x14ac:dyDescent="0.4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38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</row>
    <row r="849" spans="1:40" ht="14.25" customHeight="1" x14ac:dyDescent="0.4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38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</row>
    <row r="850" spans="1:40" ht="14.25" customHeight="1" x14ac:dyDescent="0.4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38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</row>
    <row r="851" spans="1:40" ht="14.25" customHeight="1" x14ac:dyDescent="0.4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38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</row>
    <row r="852" spans="1:40" ht="14.25" customHeight="1" x14ac:dyDescent="0.4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38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</row>
    <row r="853" spans="1:40" ht="14.25" customHeight="1" x14ac:dyDescent="0.4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38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</row>
    <row r="854" spans="1:40" ht="14.25" customHeight="1" x14ac:dyDescent="0.4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38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</row>
    <row r="855" spans="1:40" ht="14.25" customHeight="1" x14ac:dyDescent="0.4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38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</row>
    <row r="856" spans="1:40" ht="14.25" customHeight="1" x14ac:dyDescent="0.4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38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</row>
    <row r="857" spans="1:40" ht="14.25" customHeight="1" x14ac:dyDescent="0.4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38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</row>
    <row r="858" spans="1:40" ht="14.25" customHeight="1" x14ac:dyDescent="0.4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38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</row>
    <row r="859" spans="1:40" ht="14.25" customHeight="1" x14ac:dyDescent="0.4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38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</row>
    <row r="860" spans="1:40" ht="14.25" customHeight="1" x14ac:dyDescent="0.4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38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</row>
    <row r="861" spans="1:40" ht="14.25" customHeight="1" x14ac:dyDescent="0.4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38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</row>
    <row r="862" spans="1:40" ht="14.25" customHeight="1" x14ac:dyDescent="0.4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38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</row>
    <row r="863" spans="1:40" ht="14.25" customHeight="1" x14ac:dyDescent="0.4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38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</row>
    <row r="864" spans="1:40" ht="14.25" customHeight="1" x14ac:dyDescent="0.4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38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</row>
    <row r="865" spans="1:40" ht="14.25" customHeight="1" x14ac:dyDescent="0.4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38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</row>
    <row r="866" spans="1:40" ht="14.25" customHeight="1" x14ac:dyDescent="0.4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38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</row>
    <row r="867" spans="1:40" ht="14.25" customHeight="1" x14ac:dyDescent="0.4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38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</row>
    <row r="868" spans="1:40" ht="14.25" customHeight="1" x14ac:dyDescent="0.4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38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</row>
    <row r="869" spans="1:40" ht="14.25" customHeight="1" x14ac:dyDescent="0.4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38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</row>
    <row r="870" spans="1:40" ht="14.25" customHeight="1" x14ac:dyDescent="0.4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38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</row>
    <row r="871" spans="1:40" ht="14.25" customHeight="1" x14ac:dyDescent="0.4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38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</row>
    <row r="872" spans="1:40" ht="14.25" customHeight="1" x14ac:dyDescent="0.4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38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</row>
    <row r="873" spans="1:40" ht="14.25" customHeight="1" x14ac:dyDescent="0.4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38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</row>
    <row r="874" spans="1:40" ht="14.25" customHeight="1" x14ac:dyDescent="0.4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38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</row>
    <row r="875" spans="1:40" ht="14.25" customHeight="1" x14ac:dyDescent="0.4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38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</row>
    <row r="876" spans="1:40" ht="14.25" customHeight="1" x14ac:dyDescent="0.4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38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</row>
    <row r="877" spans="1:40" ht="14.25" customHeight="1" x14ac:dyDescent="0.4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38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</row>
    <row r="878" spans="1:40" ht="14.25" customHeight="1" x14ac:dyDescent="0.4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38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</row>
    <row r="879" spans="1:40" ht="14.25" customHeight="1" x14ac:dyDescent="0.4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38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</row>
    <row r="880" spans="1:40" ht="14.25" customHeight="1" x14ac:dyDescent="0.4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38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</row>
    <row r="881" spans="1:40" ht="14.25" customHeight="1" x14ac:dyDescent="0.4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38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</row>
    <row r="882" spans="1:40" ht="14.25" customHeight="1" x14ac:dyDescent="0.4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38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</row>
    <row r="883" spans="1:40" ht="14.25" customHeight="1" x14ac:dyDescent="0.4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38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</row>
    <row r="884" spans="1:40" ht="14.25" customHeight="1" x14ac:dyDescent="0.4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38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</row>
    <row r="885" spans="1:40" ht="14.25" customHeight="1" x14ac:dyDescent="0.4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38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</row>
    <row r="886" spans="1:40" ht="14.25" customHeight="1" x14ac:dyDescent="0.4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38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</row>
    <row r="887" spans="1:40" ht="14.25" customHeight="1" x14ac:dyDescent="0.4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38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</row>
    <row r="888" spans="1:40" ht="14.25" customHeight="1" x14ac:dyDescent="0.4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38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</row>
    <row r="889" spans="1:40" ht="14.25" customHeight="1" x14ac:dyDescent="0.4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38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</row>
    <row r="890" spans="1:40" ht="14.25" customHeight="1" x14ac:dyDescent="0.4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38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</row>
    <row r="891" spans="1:40" ht="14.25" customHeight="1" x14ac:dyDescent="0.4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38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</row>
    <row r="892" spans="1:40" ht="14.25" customHeight="1" x14ac:dyDescent="0.4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38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</row>
    <row r="893" spans="1:40" ht="14.25" customHeight="1" x14ac:dyDescent="0.4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38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</row>
    <row r="894" spans="1:40" ht="14.25" customHeight="1" x14ac:dyDescent="0.4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38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</row>
    <row r="895" spans="1:40" ht="14.25" customHeight="1" x14ac:dyDescent="0.4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38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</row>
    <row r="896" spans="1:40" ht="14.25" customHeight="1" x14ac:dyDescent="0.4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38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</row>
    <row r="897" spans="1:40" ht="14.25" customHeight="1" x14ac:dyDescent="0.4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38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</row>
    <row r="898" spans="1:40" ht="14.25" customHeight="1" x14ac:dyDescent="0.4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38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</row>
    <row r="899" spans="1:40" ht="14.25" customHeight="1" x14ac:dyDescent="0.4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38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</row>
    <row r="900" spans="1:40" ht="14.25" customHeight="1" x14ac:dyDescent="0.4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38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</row>
    <row r="901" spans="1:40" ht="14.25" customHeight="1" x14ac:dyDescent="0.4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38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</row>
    <row r="902" spans="1:40" ht="14.25" customHeight="1" x14ac:dyDescent="0.4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38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</row>
    <row r="903" spans="1:40" ht="14.25" customHeight="1" x14ac:dyDescent="0.4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38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</row>
    <row r="904" spans="1:40" ht="14.25" customHeight="1" x14ac:dyDescent="0.4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38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</row>
    <row r="905" spans="1:40" ht="14.25" customHeight="1" x14ac:dyDescent="0.4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38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</row>
    <row r="906" spans="1:40" ht="14.25" customHeight="1" x14ac:dyDescent="0.4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38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</row>
    <row r="907" spans="1:40" ht="14.25" customHeight="1" x14ac:dyDescent="0.4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38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</row>
    <row r="908" spans="1:40" ht="14.25" customHeight="1" x14ac:dyDescent="0.4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38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</row>
    <row r="909" spans="1:40" ht="14.25" customHeight="1" x14ac:dyDescent="0.4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38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</row>
    <row r="910" spans="1:40" ht="14.25" customHeight="1" x14ac:dyDescent="0.4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38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</row>
    <row r="911" spans="1:40" ht="14.25" customHeight="1" x14ac:dyDescent="0.4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38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</row>
    <row r="912" spans="1:40" ht="14.25" customHeight="1" x14ac:dyDescent="0.4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38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</row>
    <row r="913" spans="1:40" ht="14.25" customHeight="1" x14ac:dyDescent="0.4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38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</row>
    <row r="914" spans="1:40" ht="14.25" customHeight="1" x14ac:dyDescent="0.4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38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</row>
    <row r="915" spans="1:40" ht="14.25" customHeight="1" x14ac:dyDescent="0.4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38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</row>
    <row r="916" spans="1:40" ht="14.25" customHeight="1" x14ac:dyDescent="0.4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38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</row>
    <row r="917" spans="1:40" ht="14.25" customHeight="1" x14ac:dyDescent="0.4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38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</row>
    <row r="918" spans="1:40" ht="14.25" customHeight="1" x14ac:dyDescent="0.4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38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</row>
    <row r="919" spans="1:40" ht="14.25" customHeight="1" x14ac:dyDescent="0.4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38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</row>
    <row r="920" spans="1:40" ht="14.25" customHeight="1" x14ac:dyDescent="0.4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38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</row>
    <row r="921" spans="1:40" ht="14.25" customHeight="1" x14ac:dyDescent="0.4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38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</row>
    <row r="922" spans="1:40" ht="14.25" customHeight="1" x14ac:dyDescent="0.4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38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</row>
    <row r="923" spans="1:40" ht="14.25" customHeight="1" x14ac:dyDescent="0.4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38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</row>
    <row r="924" spans="1:40" ht="14.25" customHeight="1" x14ac:dyDescent="0.4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38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</row>
    <row r="925" spans="1:40" ht="14.25" customHeight="1" x14ac:dyDescent="0.4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38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</row>
    <row r="926" spans="1:40" ht="14.25" customHeight="1" x14ac:dyDescent="0.4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38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</row>
    <row r="927" spans="1:40" ht="14.25" customHeight="1" x14ac:dyDescent="0.4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38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</row>
    <row r="928" spans="1:40" ht="14.25" customHeight="1" x14ac:dyDescent="0.4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38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</row>
    <row r="929" spans="1:40" ht="14.25" customHeight="1" x14ac:dyDescent="0.4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38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</row>
    <row r="930" spans="1:40" ht="14.25" customHeight="1" x14ac:dyDescent="0.4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38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</row>
    <row r="931" spans="1:40" ht="14.25" customHeight="1" x14ac:dyDescent="0.4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38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</row>
    <row r="932" spans="1:40" ht="14.25" customHeight="1" x14ac:dyDescent="0.4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38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</row>
    <row r="933" spans="1:40" ht="14.25" customHeight="1" x14ac:dyDescent="0.4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38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</row>
    <row r="934" spans="1:40" ht="14.25" customHeight="1" x14ac:dyDescent="0.4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38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</row>
    <row r="935" spans="1:40" ht="14.25" customHeight="1" x14ac:dyDescent="0.4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38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</row>
    <row r="936" spans="1:40" ht="14.25" customHeight="1" x14ac:dyDescent="0.4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38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</row>
    <row r="937" spans="1:40" ht="14.25" customHeight="1" x14ac:dyDescent="0.4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38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</row>
    <row r="938" spans="1:40" ht="14.25" customHeight="1" x14ac:dyDescent="0.4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38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</row>
    <row r="939" spans="1:40" ht="14.25" customHeight="1" x14ac:dyDescent="0.4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38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</row>
    <row r="940" spans="1:40" ht="14.25" customHeight="1" x14ac:dyDescent="0.4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38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</row>
    <row r="941" spans="1:40" ht="14.25" customHeight="1" x14ac:dyDescent="0.4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38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</row>
    <row r="942" spans="1:40" ht="14.25" customHeight="1" x14ac:dyDescent="0.4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38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</row>
    <row r="943" spans="1:40" ht="14.25" customHeight="1" x14ac:dyDescent="0.4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38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</row>
    <row r="944" spans="1:40" ht="14.25" customHeight="1" x14ac:dyDescent="0.4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38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</row>
    <row r="945" spans="1:40" ht="14.25" customHeight="1" x14ac:dyDescent="0.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38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</row>
    <row r="946" spans="1:40" ht="14.25" customHeight="1" x14ac:dyDescent="0.45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38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</row>
    <row r="947" spans="1:40" ht="14.25" customHeight="1" x14ac:dyDescent="0.45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38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</row>
    <row r="948" spans="1:40" ht="14.25" customHeight="1" x14ac:dyDescent="0.45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38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</row>
    <row r="949" spans="1:40" ht="14.25" customHeight="1" x14ac:dyDescent="0.45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38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</row>
    <row r="950" spans="1:40" ht="14.25" customHeight="1" x14ac:dyDescent="0.45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38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</row>
    <row r="951" spans="1:40" ht="14.25" customHeight="1" x14ac:dyDescent="0.45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38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</row>
    <row r="952" spans="1:40" ht="14.25" customHeight="1" x14ac:dyDescent="0.45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38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</row>
    <row r="953" spans="1:40" ht="14.25" customHeight="1" x14ac:dyDescent="0.45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38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</row>
    <row r="954" spans="1:40" ht="14.25" customHeight="1" x14ac:dyDescent="0.45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38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</row>
    <row r="955" spans="1:40" ht="14.25" customHeight="1" x14ac:dyDescent="0.4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38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</row>
    <row r="956" spans="1:40" ht="14.25" customHeight="1" x14ac:dyDescent="0.45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38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</row>
    <row r="957" spans="1:40" ht="14.25" customHeight="1" x14ac:dyDescent="0.45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38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</row>
    <row r="958" spans="1:40" ht="14.25" customHeight="1" x14ac:dyDescent="0.45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38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</row>
    <row r="959" spans="1:40" ht="14.25" customHeight="1" x14ac:dyDescent="0.45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38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</row>
    <row r="960" spans="1:40" ht="14.25" customHeight="1" x14ac:dyDescent="0.45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38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</row>
    <row r="961" spans="1:40" ht="14.25" customHeight="1" x14ac:dyDescent="0.45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38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</row>
    <row r="962" spans="1:40" ht="14.25" customHeight="1" x14ac:dyDescent="0.45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38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</row>
    <row r="963" spans="1:40" ht="14.25" customHeight="1" x14ac:dyDescent="0.45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38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</row>
    <row r="964" spans="1:40" ht="14.25" customHeight="1" x14ac:dyDescent="0.45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38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</row>
    <row r="965" spans="1:40" ht="14.25" customHeight="1" x14ac:dyDescent="0.4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38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</row>
    <row r="966" spans="1:40" ht="14.25" customHeight="1" x14ac:dyDescent="0.45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38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</row>
    <row r="967" spans="1:40" ht="14.25" customHeight="1" x14ac:dyDescent="0.45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38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</row>
    <row r="968" spans="1:40" ht="14.25" customHeight="1" x14ac:dyDescent="0.45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38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</row>
    <row r="969" spans="1:40" ht="14.25" customHeight="1" x14ac:dyDescent="0.45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38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</row>
    <row r="970" spans="1:40" ht="14.25" customHeight="1" x14ac:dyDescent="0.45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38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</row>
    <row r="971" spans="1:40" ht="14.25" customHeight="1" x14ac:dyDescent="0.45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38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</row>
    <row r="972" spans="1:40" ht="14.25" customHeight="1" x14ac:dyDescent="0.45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38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</row>
    <row r="973" spans="1:40" ht="14.25" customHeight="1" x14ac:dyDescent="0.45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38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</row>
    <row r="974" spans="1:40" ht="14.25" customHeight="1" x14ac:dyDescent="0.45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38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</row>
    <row r="975" spans="1:40" ht="14.25" customHeight="1" x14ac:dyDescent="0.4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38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</row>
    <row r="976" spans="1:40" ht="14.25" customHeight="1" x14ac:dyDescent="0.45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38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</row>
    <row r="977" spans="1:40" ht="14.25" customHeight="1" x14ac:dyDescent="0.45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38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</row>
    <row r="978" spans="1:40" ht="14.25" customHeight="1" x14ac:dyDescent="0.45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38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</row>
    <row r="979" spans="1:40" ht="14.25" customHeight="1" x14ac:dyDescent="0.45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38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</row>
    <row r="980" spans="1:40" ht="14.25" customHeight="1" x14ac:dyDescent="0.45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38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</row>
    <row r="981" spans="1:40" ht="14.25" customHeight="1" x14ac:dyDescent="0.45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38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</row>
    <row r="982" spans="1:40" ht="14.25" customHeight="1" x14ac:dyDescent="0.45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38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</row>
    <row r="983" spans="1:40" ht="14.25" customHeight="1" x14ac:dyDescent="0.45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38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</row>
    <row r="984" spans="1:40" ht="14.25" customHeight="1" x14ac:dyDescent="0.45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38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</row>
    <row r="985" spans="1:40" ht="14.25" customHeight="1" x14ac:dyDescent="0.4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38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</row>
    <row r="986" spans="1:40" ht="14.25" customHeight="1" x14ac:dyDescent="0.45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38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</row>
    <row r="987" spans="1:40" ht="14.25" customHeight="1" x14ac:dyDescent="0.45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38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</row>
    <row r="988" spans="1:40" ht="14.25" customHeight="1" x14ac:dyDescent="0.45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38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</row>
    <row r="989" spans="1:40" ht="14.25" customHeight="1" x14ac:dyDescent="0.45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38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</row>
    <row r="990" spans="1:40" ht="14.25" customHeight="1" x14ac:dyDescent="0.45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38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</row>
    <row r="991" spans="1:40" ht="14.25" customHeight="1" x14ac:dyDescent="0.45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38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</row>
    <row r="992" spans="1:40" ht="14.25" customHeight="1" x14ac:dyDescent="0.45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38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</row>
    <row r="993" spans="1:40" ht="14.25" customHeight="1" x14ac:dyDescent="0.45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38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</row>
    <row r="994" spans="1:40" ht="14.25" customHeight="1" x14ac:dyDescent="0.45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38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</row>
    <row r="995" spans="1:40" ht="14.25" customHeight="1" x14ac:dyDescent="0.4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38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</row>
    <row r="996" spans="1:40" ht="14.25" customHeight="1" x14ac:dyDescent="0.45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38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</row>
    <row r="997" spans="1:40" ht="14.25" customHeight="1" x14ac:dyDescent="0.45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38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</row>
    <row r="998" spans="1:40" ht="14.25" customHeight="1" x14ac:dyDescent="0.45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38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</row>
    <row r="999" spans="1:40" ht="14.25" customHeight="1" x14ac:dyDescent="0.45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38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</row>
    <row r="1000" spans="1:40" ht="14.25" customHeight="1" x14ac:dyDescent="0.45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38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</row>
  </sheetData>
  <mergeCells count="18">
    <mergeCell ref="F2:F3"/>
    <mergeCell ref="G2:G3"/>
    <mergeCell ref="H2:H3"/>
    <mergeCell ref="I2:I3"/>
    <mergeCell ref="Q2:S2"/>
    <mergeCell ref="A1:D1"/>
    <mergeCell ref="F1:G1"/>
    <mergeCell ref="L1:P1"/>
    <mergeCell ref="A2:A3"/>
    <mergeCell ref="B2:B3"/>
    <mergeCell ref="C2:C3"/>
    <mergeCell ref="D2:D3"/>
    <mergeCell ref="J2:J3"/>
    <mergeCell ref="K2:K3"/>
    <mergeCell ref="L2:L3"/>
    <mergeCell ref="M2:N2"/>
    <mergeCell ref="O2:P2"/>
    <mergeCell ref="E2:E3"/>
  </mergeCells>
  <conditionalFormatting sqref="X1:X1000">
    <cfRule type="cellIs" dxfId="0" priority="1" operator="equal">
      <formula>1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26 Nov. - 2 Dec.</vt:lpstr>
      <vt:lpstr>map</vt:lpstr>
      <vt:lpstr>DO_corr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Chalermrat Sangmanee</cp:lastModifiedBy>
  <dcterms:created xsi:type="dcterms:W3CDTF">2023-09-10T07:20:09Z</dcterms:created>
  <dcterms:modified xsi:type="dcterms:W3CDTF">2025-10-03T06:09:21Z</dcterms:modified>
</cp:coreProperties>
</file>